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ml.chartshapes+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jpeg" ContentType="image/jpeg"/>
  <Override PartName="/xl/charts/_rels/chart1.xml.rels" ContentType="application/vnd.openxmlformats-package.relationship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itle page" sheetId="1" state="visible" r:id="rId3"/>
    <sheet name="Acknowledgements" sheetId="2" state="visible" r:id="rId4"/>
    <sheet name="Instructions" sheetId="3" state="visible" r:id="rId5"/>
    <sheet name="Data sheet" sheetId="4" state="hidden" r:id="rId6"/>
    <sheet name="Treatment threshold graphs" sheetId="5" state="visible" r:id="rId7"/>
    <sheet name="Where to find the guidance" sheetId="6" state="visible" r:id="rId8"/>
  </sheets>
  <definedNames>
    <definedName function="false" hidden="false" localSheetId="4" name="_xlnm.Print_Area" vbProcedure="false">'Treatment threshold graphs'!$A$1:$Q$46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<sst xmlns="http://schemas.openxmlformats.org/spreadsheetml/2006/main" count="22" uniqueCount="19">
  <si>
    <t xml:space="preserve">Hours</t>
  </si>
  <si>
    <t xml:space="preserve">Days</t>
  </si>
  <si>
    <t xml:space="preserve">Phototherapy</t>
  </si>
  <si>
    <t xml:space="preserve">Exchange Transfusion</t>
  </si>
  <si>
    <t xml:space="preserve">&gt;= 38 wks phototherapy</t>
  </si>
  <si>
    <t xml:space="preserve">&gt;= 38 wks exchange</t>
  </si>
  <si>
    <t xml:space="preserve"> </t>
  </si>
  <si>
    <t xml:space="preserve">Treatment threshold graph for babies with neonatal jaundice</t>
  </si>
  <si>
    <t xml:space="preserve">Baby's name</t>
  </si>
  <si>
    <t xml:space="preserve">       Date of birth</t>
  </si>
  <si>
    <t xml:space="preserve">Hospital number</t>
  </si>
  <si>
    <t xml:space="preserve">    Time of birth</t>
  </si>
  <si>
    <t xml:space="preserve">        Direct Antiglobulin Test</t>
  </si>
  <si>
    <t xml:space="preserve">Click below and choose gestation</t>
  </si>
  <si>
    <t xml:space="preserve">Shade for phototherapy</t>
  </si>
  <si>
    <t xml:space="preserve">Baby's blood group</t>
  </si>
  <si>
    <t xml:space="preserve">Mother's blood group</t>
  </si>
  <si>
    <t xml:space="preserve">&gt;=38</t>
  </si>
  <si>
    <t xml:space="preserve">    weeks gestation</t>
  </si>
</sst>
</file>

<file path=xl/styles.xml><?xml version="1.0" encoding="utf-8"?>
<styleSheet xmlns="http://schemas.openxmlformats.org/spreadsheetml/2006/main">
  <numFmts count="5">
    <numFmt numFmtId="164" formatCode="General"/>
    <numFmt numFmtId="165" formatCode="_-* #,##0.00_-;\-* #,##0.00_-;_-* \-??_-;_-@_-"/>
    <numFmt numFmtId="166" formatCode="#,##0_ ;\-#,##0\ "/>
    <numFmt numFmtId="167" formatCode="#,##0.00_ ;\-#,##0.00\ "/>
    <numFmt numFmtId="168" formatCode="[$-409]m/d/yyyy"/>
  </numFmts>
  <fonts count="45">
    <font>
      <sz val="10"/>
      <name val="Arial"/>
      <family val="0"/>
    </font>
    <font>
      <sz val="10"/>
      <name val="Arial"/>
      <family val="0"/>
    </font>
    <font>
      <sz val="10"/>
      <name val="Arial"/>
      <family val="0"/>
    </font>
    <font>
      <sz val="10"/>
      <name val="Arial"/>
      <family val="0"/>
    </font>
    <font>
      <b val="true"/>
      <sz val="12"/>
      <color rgb="FFFFFFFF"/>
      <name val="Arial"/>
      <family val="0"/>
    </font>
    <font>
      <b val="true"/>
      <sz val="18"/>
      <color rgb="FF000000"/>
      <name val="Arial"/>
      <family val="0"/>
    </font>
    <font>
      <sz val="16"/>
      <color rgb="FF000000"/>
      <name val="Arial"/>
      <family val="0"/>
    </font>
    <font>
      <b val="true"/>
      <sz val="20"/>
      <color rgb="FF33CCCC"/>
      <name val="Arial"/>
      <family val="0"/>
    </font>
    <font>
      <sz val="14"/>
      <color rgb="FF000000"/>
      <name val="Calibri"/>
      <family val="0"/>
    </font>
    <font>
      <sz val="11"/>
      <name val="Arial"/>
      <family val="2"/>
    </font>
    <font>
      <sz val="11"/>
      <color rgb="FF000000"/>
      <name val="Arial"/>
      <family val="0"/>
    </font>
    <font>
      <b val="true"/>
      <sz val="14"/>
      <color rgb="FF000000"/>
      <name val="Arial"/>
      <family val="0"/>
    </font>
    <font>
      <b val="true"/>
      <sz val="16"/>
      <color rgb="FF000000"/>
      <name val="Arial"/>
      <family val="0"/>
    </font>
    <font>
      <sz val="12"/>
      <color rgb="FF000000"/>
      <name val="Arial"/>
      <family val="0"/>
    </font>
    <font>
      <b val="true"/>
      <sz val="12"/>
      <color rgb="FF000000"/>
      <name val="Arial"/>
      <family val="0"/>
    </font>
    <font>
      <b val="true"/>
      <u val="single"/>
      <sz val="12"/>
      <color rgb="FF000000"/>
      <name val="Arial"/>
      <family val="0"/>
    </font>
    <font>
      <u val="single"/>
      <sz val="12"/>
      <color rgb="FF000000"/>
      <name val="Arial"/>
      <family val="0"/>
    </font>
    <font>
      <sz val="13"/>
      <color rgb="FF000000"/>
      <name val="Arial"/>
      <family val="0"/>
    </font>
    <font>
      <sz val="14"/>
      <color rgb="FF000000"/>
      <name val="Arial"/>
      <family val="0"/>
    </font>
    <font>
      <sz val="9"/>
      <color rgb="FF0000FF"/>
      <name val="Tahoma"/>
      <family val="0"/>
    </font>
    <font>
      <sz val="9"/>
      <name val="Arial"/>
      <family val="2"/>
    </font>
    <font>
      <sz val="10"/>
      <name val="Arial"/>
      <family val="2"/>
    </font>
    <font>
      <sz val="14"/>
      <name val="Arial"/>
      <family val="0"/>
    </font>
    <font>
      <b val="true"/>
      <sz val="16"/>
      <name val="Arial"/>
      <family val="2"/>
    </font>
    <font>
      <sz val="18"/>
      <name val="Arial"/>
      <family val="0"/>
    </font>
    <font>
      <sz val="12"/>
      <name val="Arial"/>
      <family val="2"/>
    </font>
    <font>
      <b val="true"/>
      <sz val="11"/>
      <color rgb="FF003366"/>
      <name val="Calibri"/>
      <family val="2"/>
    </font>
    <font>
      <sz val="14"/>
      <name val="Arial"/>
      <family val="2"/>
    </font>
    <font>
      <b val="true"/>
      <u val="single"/>
      <sz val="16"/>
      <color rgb="FFFF0000"/>
      <name val="Arial"/>
      <family val="2"/>
    </font>
    <font>
      <sz val="15"/>
      <name val="Arial"/>
      <family val="2"/>
    </font>
    <font>
      <b val="true"/>
      <sz val="12"/>
      <color rgb="FFFF0000"/>
      <name val="Arial"/>
      <family val="2"/>
    </font>
    <font>
      <sz val="10"/>
      <color rgb="FF000000"/>
      <name val="Arial"/>
      <family val="2"/>
    </font>
    <font>
      <b val="true"/>
      <sz val="28"/>
      <color rgb="FFFF0000"/>
      <name val="Arial"/>
      <family val="2"/>
    </font>
    <font>
      <b val="true"/>
      <sz val="11"/>
      <color rgb="FFFF9900"/>
      <name val="Calibri"/>
      <family val="2"/>
    </font>
    <font>
      <b val="true"/>
      <sz val="18"/>
      <name val="Calibri"/>
      <family val="2"/>
    </font>
    <font>
      <b val="true"/>
      <sz val="18"/>
      <name val="Arial"/>
      <family val="2"/>
    </font>
    <font>
      <sz val="9"/>
      <color rgb="FF000000"/>
      <name val="Arial"/>
      <family val="0"/>
    </font>
    <font>
      <sz val="12"/>
      <color rgb="FF000000"/>
      <name val="Arial"/>
      <family val="2"/>
    </font>
    <font>
      <b val="true"/>
      <sz val="16.25"/>
      <color rgb="FF000000"/>
      <name val="Calibri"/>
      <family val="2"/>
    </font>
    <font>
      <u val="single"/>
      <sz val="11"/>
      <color rgb="FF000000"/>
      <name val="Arial"/>
      <family val="0"/>
    </font>
    <font>
      <sz val="12"/>
      <color rgb="FF0000FF"/>
      <name val="Arial"/>
      <family val="0"/>
    </font>
    <font>
      <sz val="11"/>
      <color rgb="FF000000"/>
      <name val="Symbol"/>
      <family val="0"/>
    </font>
    <font>
      <sz val="11"/>
      <color rgb="FF0000FF"/>
      <name val="Arial"/>
      <family val="0"/>
    </font>
    <font>
      <sz val="10"/>
      <color rgb="FF000000"/>
      <name val="Calibri"/>
      <family val="0"/>
    </font>
    <font>
      <u val="single"/>
      <sz val="10"/>
      <color rgb="FF000000"/>
      <name val="Arial"/>
      <family val="0"/>
    </font>
  </fonts>
  <fills count="4">
    <fill>
      <patternFill patternType="none"/>
    </fill>
    <fill>
      <patternFill patternType="gray125"/>
    </fill>
    <fill>
      <patternFill patternType="solid">
        <fgColor rgb="FFC0C0C0"/>
        <bgColor rgb="FFCCCCFF"/>
      </patternFill>
    </fill>
    <fill>
      <patternFill patternType="solid">
        <fgColor rgb="FFFFFFFF"/>
        <bgColor rgb="FFFFFFCC"/>
      </patternFill>
    </fill>
  </fills>
  <borders count="4">
    <border diagonalUp="false" diagonalDown="false">
      <left/>
      <right/>
      <top/>
      <bottom/>
      <diagonal/>
    </border>
    <border diagonalUp="false" diagonalDown="false">
      <left/>
      <right/>
      <top/>
      <bottom style="medium">
        <color rgb="FF0066CC"/>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color rgb="FFFF0000"/>
      </left>
      <right style="medium">
        <color rgb="FFFF0000"/>
      </right>
      <top style="medium">
        <color rgb="FFFF0000"/>
      </top>
      <bottom style="medium">
        <color rgb="FFFF0000"/>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6" fillId="0" borderId="1" applyFont="true" applyBorder="true" applyAlignment="false" applyProtection="false"/>
    <xf numFmtId="164" fontId="33" fillId="2" borderId="2" applyFont="true" applyBorder="tru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true">
      <alignment horizontal="center" vertical="bottom" textRotation="0" wrapText="false" indent="0" shrinkToFit="false"/>
      <protection locked="true" hidden="false"/>
    </xf>
    <xf numFmtId="164" fontId="20" fillId="0" borderId="0"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20" fillId="0" borderId="0" xfId="15" applyFont="true" applyBorder="true" applyAlignment="true" applyProtection="true">
      <alignment horizontal="center" vertical="bottom" textRotation="0" wrapText="false" indent="0" shrinkToFit="false"/>
      <protection locked="true" hidden="false"/>
    </xf>
    <xf numFmtId="167" fontId="20" fillId="0" borderId="0" xfId="15" applyFont="true" applyBorder="true" applyAlignment="true" applyProtection="true">
      <alignment horizontal="center"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2" fillId="3" borderId="0" xfId="0" applyFont="true" applyBorder="true" applyAlignment="false" applyProtection="false">
      <alignment horizontal="general" vertical="bottom" textRotation="0" wrapText="false" indent="0" shrinkToFit="false"/>
      <protection locked="true" hidden="false"/>
    </xf>
    <xf numFmtId="164" fontId="23" fillId="3" borderId="0" xfId="0" applyFont="true" applyBorder="true" applyAlignment="false" applyProtection="false">
      <alignment horizontal="general" vertical="bottom" textRotation="0" wrapText="false" indent="0" shrinkToFit="false"/>
      <protection locked="true" hidden="false"/>
    </xf>
    <xf numFmtId="168" fontId="22" fillId="3" borderId="0" xfId="0" applyFont="true" applyBorder="true" applyAlignment="true" applyProtection="false">
      <alignment horizontal="left" vertical="bottom" textRotation="0" wrapText="false" indent="0" shrinkToFit="false"/>
      <protection locked="true" hidden="false"/>
    </xf>
    <xf numFmtId="164" fontId="24" fillId="3"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5" fillId="3" borderId="0" xfId="0" applyFont="true" applyBorder="true" applyAlignment="false" applyProtection="false">
      <alignment horizontal="general" vertical="bottom" textRotation="0" wrapText="false" indent="0" shrinkToFit="false"/>
      <protection locked="true" hidden="false"/>
    </xf>
    <xf numFmtId="164" fontId="26" fillId="0" borderId="1" xfId="20" applyFont="false" applyBorder="false" applyAlignment="true" applyProtection="true">
      <alignment horizontal="general" vertical="bottom"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27" fillId="3" borderId="0"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7" fillId="3"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30" fillId="3" borderId="0"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bottom" textRotation="0" wrapText="false" indent="0" shrinkToFit="false" readingOrder="1"/>
      <protection locked="true" hidden="false"/>
    </xf>
    <xf numFmtId="164" fontId="26" fillId="3" borderId="1" xfId="20" applyFont="false" applyBorder="false" applyAlignment="true" applyProtection="true">
      <alignment horizontal="general" vertical="bottom" textRotation="0" wrapText="false" indent="0" shrinkToFit="false"/>
      <protection locked="true" hidden="false"/>
    </xf>
    <xf numFmtId="164" fontId="32" fillId="0" borderId="3" xfId="21" applyFont="true" applyBorder="true" applyAlignment="true" applyProtection="true">
      <alignment horizontal="right" vertical="bottom" textRotation="0" wrapText="false" indent="0" shrinkToFit="false"/>
      <protection locked="false" hidden="false"/>
    </xf>
    <xf numFmtId="164" fontId="34" fillId="3" borderId="0" xfId="0" applyFont="true" applyBorder="true" applyAlignment="true" applyProtection="false">
      <alignment horizontal="left" vertical="bottom" textRotation="0" wrapText="false" indent="0" shrinkToFit="false"/>
      <protection locked="true" hidden="false"/>
    </xf>
    <xf numFmtId="164" fontId="35" fillId="3" borderId="0" xfId="0" applyFont="true" applyBorder="true" applyAlignment="false" applyProtection="false">
      <alignment horizontal="general" vertical="bottom" textRotation="0" wrapText="false" indent="0" shrinkToFit="false"/>
      <protection locked="true" hidden="false"/>
    </xf>
    <xf numFmtId="164" fontId="29" fillId="3" borderId="0" xfId="0" applyFont="true" applyBorder="tru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_BuiltIn_Heading 3" xfId="20"/>
    <cellStyle name="Excel_BuiltIn_Calculation" xfId="2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chartUserShapes" Target="../drawings/drawing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447659519252603"/>
          <c:y val="0.030122551826824"/>
          <c:w val="0.951568430272164"/>
          <c:h val="0.928874126675066"/>
        </c:manualLayout>
      </c:layout>
      <c:scatterChart>
        <c:scatterStyle val="line"/>
        <c:varyColors val="0"/>
        <c:ser>
          <c:idx val="0"/>
          <c:order val="0"/>
          <c:tx>
            <c:strRef>
              <c:f>'Data sheet'!$D$1</c:f>
              <c:strCache>
                <c:ptCount val="1"/>
                <c:pt idx="0">
                  <c:v>Phototherapy</c:v>
                </c:pt>
              </c:strCache>
            </c:strRef>
          </c:tx>
          <c:spPr>
            <a:solidFill>
              <a:srgbClr val="000080"/>
            </a:solidFill>
            <a:ln w="37800">
              <a:solidFill>
                <a:srgbClr val="00008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'Data sheet'!$C$2:$C$58</c:f>
              <c:numCache>
                <c:formatCode>#,##0.00_ ;\-#,##0.00\ </c:formatCode>
                <c:ptCount val="57"/>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pt idx="15">
                  <c:v>3.75</c:v>
                </c:pt>
                <c:pt idx="16">
                  <c:v>4</c:v>
                </c:pt>
                <c:pt idx="17">
                  <c:v>4.25</c:v>
                </c:pt>
                <c:pt idx="18">
                  <c:v>4.5</c:v>
                </c:pt>
                <c:pt idx="19">
                  <c:v>4.75</c:v>
                </c:pt>
                <c:pt idx="20">
                  <c:v>5</c:v>
                </c:pt>
                <c:pt idx="21">
                  <c:v>5.25</c:v>
                </c:pt>
                <c:pt idx="22">
                  <c:v>5.5</c:v>
                </c:pt>
                <c:pt idx="23">
                  <c:v>5.75</c:v>
                </c:pt>
                <c:pt idx="24">
                  <c:v>6</c:v>
                </c:pt>
                <c:pt idx="25">
                  <c:v>6.25</c:v>
                </c:pt>
                <c:pt idx="26">
                  <c:v>6.5</c:v>
                </c:pt>
                <c:pt idx="27">
                  <c:v>6.75</c:v>
                </c:pt>
                <c:pt idx="28">
                  <c:v>7</c:v>
                </c:pt>
                <c:pt idx="29">
                  <c:v>7.25</c:v>
                </c:pt>
                <c:pt idx="30">
                  <c:v>7.5</c:v>
                </c:pt>
                <c:pt idx="31">
                  <c:v>7.75</c:v>
                </c:pt>
                <c:pt idx="32">
                  <c:v>8</c:v>
                </c:pt>
                <c:pt idx="33">
                  <c:v>8.25</c:v>
                </c:pt>
                <c:pt idx="34">
                  <c:v>8.5</c:v>
                </c:pt>
                <c:pt idx="35">
                  <c:v>8.75</c:v>
                </c:pt>
                <c:pt idx="36">
                  <c:v>9</c:v>
                </c:pt>
                <c:pt idx="37">
                  <c:v>9.25</c:v>
                </c:pt>
                <c:pt idx="38">
                  <c:v>9.5</c:v>
                </c:pt>
                <c:pt idx="39">
                  <c:v>9.75</c:v>
                </c:pt>
                <c:pt idx="40">
                  <c:v>10</c:v>
                </c:pt>
                <c:pt idx="41">
                  <c:v>10.25</c:v>
                </c:pt>
                <c:pt idx="42">
                  <c:v>10.5</c:v>
                </c:pt>
                <c:pt idx="43">
                  <c:v>10.75</c:v>
                </c:pt>
                <c:pt idx="44">
                  <c:v>11</c:v>
                </c:pt>
                <c:pt idx="45">
                  <c:v>11.25</c:v>
                </c:pt>
                <c:pt idx="46">
                  <c:v>11.5</c:v>
                </c:pt>
                <c:pt idx="47">
                  <c:v>11.75</c:v>
                </c:pt>
                <c:pt idx="48">
                  <c:v>12</c:v>
                </c:pt>
                <c:pt idx="49">
                  <c:v>12.25</c:v>
                </c:pt>
                <c:pt idx="50">
                  <c:v>12.5</c:v>
                </c:pt>
                <c:pt idx="51">
                  <c:v>12.75</c:v>
                </c:pt>
                <c:pt idx="52">
                  <c:v>13</c:v>
                </c:pt>
                <c:pt idx="53">
                  <c:v>13.25</c:v>
                </c:pt>
                <c:pt idx="54">
                  <c:v>13.5</c:v>
                </c:pt>
                <c:pt idx="55">
                  <c:v>13.75</c:v>
                </c:pt>
                <c:pt idx="56">
                  <c:v>14</c:v>
                </c:pt>
              </c:numCache>
            </c:numRef>
          </c:xVal>
          <c:yVal>
            <c:numRef>
              <c:f>'Data sheet'!$D$2:$D$58</c:f>
              <c:numCache>
                <c:formatCode>General</c:formatCode>
                <c:ptCount val="57"/>
                <c:pt idx="0">
                  <c:v>100</c:v>
                </c:pt>
                <c:pt idx="1">
                  <c:v>125</c:v>
                </c:pt>
                <c:pt idx="2">
                  <c:v>150</c:v>
                </c:pt>
                <c:pt idx="3">
                  <c:v>175</c:v>
                </c:pt>
                <c:pt idx="4">
                  <c:v>200</c:v>
                </c:pt>
                <c:pt idx="5">
                  <c:v>212</c:v>
                </c:pt>
                <c:pt idx="6">
                  <c:v>225</c:v>
                </c:pt>
                <c:pt idx="7">
                  <c:v>237</c:v>
                </c:pt>
                <c:pt idx="8">
                  <c:v>250</c:v>
                </c:pt>
                <c:pt idx="9">
                  <c:v>262</c:v>
                </c:pt>
                <c:pt idx="10">
                  <c:v>275</c:v>
                </c:pt>
                <c:pt idx="11">
                  <c:v>287</c:v>
                </c:pt>
                <c:pt idx="12">
                  <c:v>300</c:v>
                </c:pt>
                <c:pt idx="13">
                  <c:v>312</c:v>
                </c:pt>
                <c:pt idx="14">
                  <c:v>325</c:v>
                </c:pt>
                <c:pt idx="15">
                  <c:v>337</c:v>
                </c:pt>
                <c:pt idx="16">
                  <c:v>350</c:v>
                </c:pt>
                <c:pt idx="17">
                  <c:v>350</c:v>
                </c:pt>
                <c:pt idx="18">
                  <c:v>350</c:v>
                </c:pt>
                <c:pt idx="19">
                  <c:v>350</c:v>
                </c:pt>
                <c:pt idx="20">
                  <c:v>350</c:v>
                </c:pt>
                <c:pt idx="21">
                  <c:v>350</c:v>
                </c:pt>
                <c:pt idx="22">
                  <c:v>350</c:v>
                </c:pt>
                <c:pt idx="23">
                  <c:v>350</c:v>
                </c:pt>
                <c:pt idx="24">
                  <c:v>350</c:v>
                </c:pt>
                <c:pt idx="25">
                  <c:v>350</c:v>
                </c:pt>
                <c:pt idx="26">
                  <c:v>350</c:v>
                </c:pt>
                <c:pt idx="27">
                  <c:v>350</c:v>
                </c:pt>
                <c:pt idx="28">
                  <c:v>350</c:v>
                </c:pt>
                <c:pt idx="29">
                  <c:v>350</c:v>
                </c:pt>
                <c:pt idx="30">
                  <c:v>350</c:v>
                </c:pt>
                <c:pt idx="31">
                  <c:v>350</c:v>
                </c:pt>
                <c:pt idx="32">
                  <c:v>350</c:v>
                </c:pt>
                <c:pt idx="33">
                  <c:v>350</c:v>
                </c:pt>
                <c:pt idx="34">
                  <c:v>350</c:v>
                </c:pt>
                <c:pt idx="35">
                  <c:v>350</c:v>
                </c:pt>
                <c:pt idx="36">
                  <c:v>350</c:v>
                </c:pt>
                <c:pt idx="37">
                  <c:v>350</c:v>
                </c:pt>
                <c:pt idx="38">
                  <c:v>350</c:v>
                </c:pt>
                <c:pt idx="39">
                  <c:v>350</c:v>
                </c:pt>
                <c:pt idx="40">
                  <c:v>350</c:v>
                </c:pt>
                <c:pt idx="41">
                  <c:v>350</c:v>
                </c:pt>
                <c:pt idx="42">
                  <c:v>350</c:v>
                </c:pt>
                <c:pt idx="43">
                  <c:v>350</c:v>
                </c:pt>
                <c:pt idx="44">
                  <c:v>350</c:v>
                </c:pt>
                <c:pt idx="45">
                  <c:v>350</c:v>
                </c:pt>
                <c:pt idx="46">
                  <c:v>350</c:v>
                </c:pt>
                <c:pt idx="47">
                  <c:v>350</c:v>
                </c:pt>
                <c:pt idx="48">
                  <c:v>350</c:v>
                </c:pt>
                <c:pt idx="49">
                  <c:v>350</c:v>
                </c:pt>
                <c:pt idx="50">
                  <c:v>350</c:v>
                </c:pt>
                <c:pt idx="51">
                  <c:v>350</c:v>
                </c:pt>
                <c:pt idx="52">
                  <c:v>350</c:v>
                </c:pt>
                <c:pt idx="53">
                  <c:v>350</c:v>
                </c:pt>
                <c:pt idx="54">
                  <c:v>350</c:v>
                </c:pt>
                <c:pt idx="55">
                  <c:v>350</c:v>
                </c:pt>
                <c:pt idx="56">
                  <c:v>350</c:v>
                </c:pt>
              </c:numCache>
            </c:numRef>
          </c:yVal>
          <c:smooth val="0"/>
        </c:ser>
        <c:ser>
          <c:idx val="1"/>
          <c:order val="1"/>
          <c:tx>
            <c:strRef>
              <c:f>'Data sheet'!$E$1</c:f>
              <c:strCache>
                <c:ptCount val="1"/>
                <c:pt idx="0">
                  <c:v>Exchange Transfusion</c:v>
                </c:pt>
              </c:strCache>
            </c:strRef>
          </c:tx>
          <c:spPr>
            <a:solidFill>
              <a:srgbClr val="800000"/>
            </a:solidFill>
            <a:ln w="37800">
              <a:solidFill>
                <a:srgbClr val="800000"/>
              </a:solidFill>
              <a:round/>
            </a:ln>
          </c:spPr>
          <c:marker>
            <c:symbol val="none"/>
          </c:marker>
          <c:dPt>
            <c:idx val="34"/>
            <c:marker>
              <c:symbol val="none"/>
            </c:marker>
          </c:dPt>
          <c:dLbls>
            <c:dLbl>
              <c:idx val="34"/>
              <c:txPr>
                <a:bodyPr wrap="none"/>
                <a:lstStyle/>
                <a:p>
                  <a:pPr>
                    <a:defRPr b="0" sz="1200" spc="-1" strike="noStrike">
                      <a:solidFill>
                        <a:srgbClr val="000000"/>
                      </a:solidFill>
                      <a:latin typeface="Arial"/>
                    </a:defRPr>
                  </a:pPr>
                </a:p>
              </c:txPr>
              <c:dLblPos val="r"/>
              <c:showLegendKey val="0"/>
              <c:showVal val="0"/>
              <c:showCatName val="1"/>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'Data sheet'!$C$2:$C$58</c:f>
              <c:numCache>
                <c:formatCode>#,##0.00_ ;\-#,##0.00\ </c:formatCode>
                <c:ptCount val="57"/>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pt idx="15">
                  <c:v>3.75</c:v>
                </c:pt>
                <c:pt idx="16">
                  <c:v>4</c:v>
                </c:pt>
                <c:pt idx="17">
                  <c:v>4.25</c:v>
                </c:pt>
                <c:pt idx="18">
                  <c:v>4.5</c:v>
                </c:pt>
                <c:pt idx="19">
                  <c:v>4.75</c:v>
                </c:pt>
                <c:pt idx="20">
                  <c:v>5</c:v>
                </c:pt>
                <c:pt idx="21">
                  <c:v>5.25</c:v>
                </c:pt>
                <c:pt idx="22">
                  <c:v>5.5</c:v>
                </c:pt>
                <c:pt idx="23">
                  <c:v>5.75</c:v>
                </c:pt>
                <c:pt idx="24">
                  <c:v>6</c:v>
                </c:pt>
                <c:pt idx="25">
                  <c:v>6.25</c:v>
                </c:pt>
                <c:pt idx="26">
                  <c:v>6.5</c:v>
                </c:pt>
                <c:pt idx="27">
                  <c:v>6.75</c:v>
                </c:pt>
                <c:pt idx="28">
                  <c:v>7</c:v>
                </c:pt>
                <c:pt idx="29">
                  <c:v>7.25</c:v>
                </c:pt>
                <c:pt idx="30">
                  <c:v>7.5</c:v>
                </c:pt>
                <c:pt idx="31">
                  <c:v>7.75</c:v>
                </c:pt>
                <c:pt idx="32">
                  <c:v>8</c:v>
                </c:pt>
                <c:pt idx="33">
                  <c:v>8.25</c:v>
                </c:pt>
                <c:pt idx="34">
                  <c:v>8.5</c:v>
                </c:pt>
                <c:pt idx="35">
                  <c:v>8.75</c:v>
                </c:pt>
                <c:pt idx="36">
                  <c:v>9</c:v>
                </c:pt>
                <c:pt idx="37">
                  <c:v>9.25</c:v>
                </c:pt>
                <c:pt idx="38">
                  <c:v>9.5</c:v>
                </c:pt>
                <c:pt idx="39">
                  <c:v>9.75</c:v>
                </c:pt>
                <c:pt idx="40">
                  <c:v>10</c:v>
                </c:pt>
                <c:pt idx="41">
                  <c:v>10.25</c:v>
                </c:pt>
                <c:pt idx="42">
                  <c:v>10.5</c:v>
                </c:pt>
                <c:pt idx="43">
                  <c:v>10.75</c:v>
                </c:pt>
                <c:pt idx="44">
                  <c:v>11</c:v>
                </c:pt>
                <c:pt idx="45">
                  <c:v>11.25</c:v>
                </c:pt>
                <c:pt idx="46">
                  <c:v>11.5</c:v>
                </c:pt>
                <c:pt idx="47">
                  <c:v>11.75</c:v>
                </c:pt>
                <c:pt idx="48">
                  <c:v>12</c:v>
                </c:pt>
                <c:pt idx="49">
                  <c:v>12.25</c:v>
                </c:pt>
                <c:pt idx="50">
                  <c:v>12.5</c:v>
                </c:pt>
                <c:pt idx="51">
                  <c:v>12.75</c:v>
                </c:pt>
                <c:pt idx="52">
                  <c:v>13</c:v>
                </c:pt>
                <c:pt idx="53">
                  <c:v>13.25</c:v>
                </c:pt>
                <c:pt idx="54">
                  <c:v>13.5</c:v>
                </c:pt>
                <c:pt idx="55">
                  <c:v>13.75</c:v>
                </c:pt>
                <c:pt idx="56">
                  <c:v>14</c:v>
                </c:pt>
              </c:numCache>
            </c:numRef>
          </c:xVal>
          <c:yVal>
            <c:numRef>
              <c:f>'Data sheet'!$E$2:$E$58</c:f>
              <c:numCache>
                <c:formatCode>General</c:formatCode>
                <c:ptCount val="57"/>
                <c:pt idx="0">
                  <c:v>100</c:v>
                </c:pt>
                <c:pt idx="1">
                  <c:v>150</c:v>
                </c:pt>
                <c:pt idx="2">
                  <c:v>200</c:v>
                </c:pt>
                <c:pt idx="3">
                  <c:v>250</c:v>
                </c:pt>
                <c:pt idx="4">
                  <c:v>300</c:v>
                </c:pt>
                <c:pt idx="5">
                  <c:v>350</c:v>
                </c:pt>
                <c:pt idx="6">
                  <c:v>400</c:v>
                </c:pt>
                <c:pt idx="7">
                  <c:v>450</c:v>
                </c:pt>
                <c:pt idx="8">
                  <c:v>450</c:v>
                </c:pt>
                <c:pt idx="9">
                  <c:v>450</c:v>
                </c:pt>
                <c:pt idx="10">
                  <c:v>450</c:v>
                </c:pt>
                <c:pt idx="11">
                  <c:v>450</c:v>
                </c:pt>
                <c:pt idx="12">
                  <c:v>450</c:v>
                </c:pt>
                <c:pt idx="13">
                  <c:v>450</c:v>
                </c:pt>
                <c:pt idx="14">
                  <c:v>450</c:v>
                </c:pt>
                <c:pt idx="15">
                  <c:v>450</c:v>
                </c:pt>
                <c:pt idx="16">
                  <c:v>450</c:v>
                </c:pt>
                <c:pt idx="17">
                  <c:v>450</c:v>
                </c:pt>
                <c:pt idx="18">
                  <c:v>450</c:v>
                </c:pt>
                <c:pt idx="19">
                  <c:v>450</c:v>
                </c:pt>
                <c:pt idx="20">
                  <c:v>450</c:v>
                </c:pt>
                <c:pt idx="21">
                  <c:v>450</c:v>
                </c:pt>
                <c:pt idx="22">
                  <c:v>450</c:v>
                </c:pt>
                <c:pt idx="23">
                  <c:v>450</c:v>
                </c:pt>
                <c:pt idx="24">
                  <c:v>450</c:v>
                </c:pt>
                <c:pt idx="25">
                  <c:v>450</c:v>
                </c:pt>
                <c:pt idx="26">
                  <c:v>450</c:v>
                </c:pt>
                <c:pt idx="27">
                  <c:v>450</c:v>
                </c:pt>
                <c:pt idx="28">
                  <c:v>450</c:v>
                </c:pt>
                <c:pt idx="29">
                  <c:v>450</c:v>
                </c:pt>
                <c:pt idx="30">
                  <c:v>450</c:v>
                </c:pt>
                <c:pt idx="31">
                  <c:v>450</c:v>
                </c:pt>
                <c:pt idx="32">
                  <c:v>450</c:v>
                </c:pt>
                <c:pt idx="33">
                  <c:v>450</c:v>
                </c:pt>
                <c:pt idx="34">
                  <c:v>450</c:v>
                </c:pt>
                <c:pt idx="35">
                  <c:v>450</c:v>
                </c:pt>
                <c:pt idx="36">
                  <c:v>450</c:v>
                </c:pt>
                <c:pt idx="37">
                  <c:v>450</c:v>
                </c:pt>
                <c:pt idx="38">
                  <c:v>450</c:v>
                </c:pt>
                <c:pt idx="39">
                  <c:v>450</c:v>
                </c:pt>
                <c:pt idx="40">
                  <c:v>450</c:v>
                </c:pt>
                <c:pt idx="41">
                  <c:v>450</c:v>
                </c:pt>
                <c:pt idx="42">
                  <c:v>450</c:v>
                </c:pt>
                <c:pt idx="43">
                  <c:v>450</c:v>
                </c:pt>
                <c:pt idx="44">
                  <c:v>450</c:v>
                </c:pt>
                <c:pt idx="45">
                  <c:v>450</c:v>
                </c:pt>
                <c:pt idx="46">
                  <c:v>450</c:v>
                </c:pt>
                <c:pt idx="47">
                  <c:v>450</c:v>
                </c:pt>
                <c:pt idx="48">
                  <c:v>450</c:v>
                </c:pt>
                <c:pt idx="49">
                  <c:v>450</c:v>
                </c:pt>
                <c:pt idx="50">
                  <c:v>450</c:v>
                </c:pt>
                <c:pt idx="51">
                  <c:v>450</c:v>
                </c:pt>
                <c:pt idx="52">
                  <c:v>450</c:v>
                </c:pt>
                <c:pt idx="53">
                  <c:v>450</c:v>
                </c:pt>
                <c:pt idx="54">
                  <c:v>450</c:v>
                </c:pt>
                <c:pt idx="55">
                  <c:v>450</c:v>
                </c:pt>
                <c:pt idx="56">
                  <c:v>450</c:v>
                </c:pt>
              </c:numCache>
            </c:numRef>
          </c:yVal>
          <c:smooth val="0"/>
        </c:ser>
        <c:axId val="82566996"/>
        <c:axId val="56462438"/>
      </c:scatterChart>
      <c:valAx>
        <c:axId val="82566996"/>
        <c:scaling>
          <c:orientation val="minMax"/>
          <c:max val="14"/>
          <c:min val="0"/>
        </c:scaling>
        <c:delete val="0"/>
        <c:axPos val="b"/>
        <c:majorGridlines>
          <c:spPr>
            <a:ln w="12600">
              <a:solidFill>
                <a:srgbClr val="000000"/>
              </a:solidFill>
              <a:round/>
            </a:ln>
          </c:spPr>
        </c:majorGridlines>
        <c:minorGridlines>
          <c:spPr>
            <a:ln w="0">
              <a:solidFill>
                <a:srgbClr val="000000"/>
              </a:solidFill>
            </a:ln>
          </c:spPr>
        </c:minorGridlines>
        <c:title>
          <c:tx>
            <c:rich>
              <a:bodyPr rot="0"/>
              <a:lstStyle/>
              <a:p>
                <a:pPr>
                  <a:defRPr b="1" sz="1625" spc="-1" strike="noStrike">
                    <a:solidFill>
                      <a:srgbClr val="000000"/>
                    </a:solidFill>
                    <a:latin typeface="Calibri"/>
                  </a:defRPr>
                </a:pPr>
                <a:r>
                  <a:rPr b="1" sz="1625" spc="-1" strike="noStrike">
                    <a:solidFill>
                      <a:srgbClr val="000000"/>
                    </a:solidFill>
                    <a:latin typeface="Calibri"/>
                  </a:rPr>
                  <a:t>Days from birth</a:t>
                </a:r>
              </a:p>
            </c:rich>
          </c:tx>
          <c:layout>
            <c:manualLayout>
              <c:xMode val="edge"/>
              <c:yMode val="edge"/>
              <c:x val="0.848022837123301"/>
              <c:y val="0.924521818806551"/>
            </c:manualLayout>
          </c:layout>
          <c:overlay val="0"/>
          <c:spPr>
            <a:solidFill>
              <a:srgbClr val="ffffff"/>
            </a:solidFill>
            <a:ln w="0">
              <a:noFill/>
            </a:ln>
          </c:spPr>
        </c:title>
        <c:numFmt formatCode="#,##0_ ;\-#,##0\ " sourceLinked="0"/>
        <c:majorTickMark val="out"/>
        <c:minorTickMark val="none"/>
        <c:tickLblPos val="nextTo"/>
        <c:spPr>
          <a:ln w="12600">
            <a:solidFill>
              <a:srgbClr val="000000"/>
            </a:solidFill>
            <a:round/>
          </a:ln>
        </c:spPr>
        <c:txPr>
          <a:bodyPr/>
          <a:lstStyle/>
          <a:p>
            <a:pPr>
              <a:defRPr b="0" sz="1200" spc="-1" strike="noStrike">
                <a:solidFill>
                  <a:srgbClr val="000000"/>
                </a:solidFill>
                <a:latin typeface="Arial"/>
              </a:defRPr>
            </a:pPr>
          </a:p>
        </c:txPr>
        <c:crossAx val="56462438"/>
        <c:crossesAt val="0"/>
        <c:crossBetween val="midCat"/>
        <c:majorUnit val="1"/>
        <c:minorUnit val="0.25"/>
      </c:valAx>
      <c:valAx>
        <c:axId val="56462438"/>
        <c:scaling>
          <c:orientation val="minMax"/>
          <c:max val="590"/>
          <c:min val="0"/>
        </c:scaling>
        <c:delete val="0"/>
        <c:axPos val="l"/>
        <c:majorGridlines>
          <c:spPr>
            <a:ln w="12600">
              <a:solidFill>
                <a:srgbClr val="000000"/>
              </a:solidFill>
              <a:round/>
            </a:ln>
          </c:spPr>
        </c:majorGridlines>
        <c:minorGridlines>
          <c:spPr>
            <a:ln w="0">
              <a:solidFill>
                <a:srgbClr val="000000"/>
              </a:solidFill>
            </a:ln>
          </c:spPr>
        </c:minorGridlines>
        <c:title>
          <c:tx>
            <c:rich>
              <a:bodyPr rot="-5400000"/>
              <a:lstStyle/>
              <a:p>
                <a:pPr>
                  <a:defRPr b="1" sz="1625" spc="-1" strike="noStrike">
                    <a:solidFill>
                      <a:srgbClr val="000000"/>
                    </a:solidFill>
                    <a:latin typeface="Calibri"/>
                  </a:defRPr>
                </a:pPr>
                <a:r>
                  <a:rPr b="1" sz="1625" spc="-1" strike="noStrike">
                    <a:solidFill>
                      <a:srgbClr val="000000"/>
                    </a:solidFill>
                    <a:latin typeface="Calibri"/>
                  </a:rPr>
                  <a:t>Total serum bilirubin  (micromol/litre)</a:t>
                </a:r>
              </a:p>
            </c:rich>
          </c:tx>
          <c:layout>
            <c:manualLayout>
              <c:xMode val="edge"/>
              <c:yMode val="edge"/>
              <c:x val="0.0081422129951017"/>
              <c:y val="-0.517351964265262"/>
            </c:manualLayout>
          </c:layout>
          <c:overlay val="0"/>
          <c:spPr>
            <a:noFill/>
            <a:ln w="0">
              <a:noFill/>
            </a:ln>
          </c:spPr>
        </c:title>
        <c:numFmt formatCode="General" sourceLinked="1"/>
        <c:majorTickMark val="out"/>
        <c:minorTickMark val="none"/>
        <c:tickLblPos val="nextTo"/>
        <c:spPr>
          <a:ln w="12600">
            <a:solidFill>
              <a:srgbClr val="000000"/>
            </a:solidFill>
            <a:round/>
          </a:ln>
        </c:spPr>
        <c:txPr>
          <a:bodyPr/>
          <a:lstStyle/>
          <a:p>
            <a:pPr>
              <a:defRPr b="0" sz="1200" spc="-1" strike="noStrike">
                <a:solidFill>
                  <a:srgbClr val="000000"/>
                </a:solidFill>
                <a:latin typeface="Arial"/>
              </a:defRPr>
            </a:pPr>
          </a:p>
        </c:txPr>
        <c:crossAx val="82566996"/>
        <c:crossesAt val="0"/>
        <c:crossBetween val="midCat"/>
        <c:majorUnit val="50"/>
      </c:valAx>
      <c:spPr>
        <a:solidFill>
          <a:srgbClr val="ffffff"/>
        </a:solidFill>
        <a:ln w="12600">
          <a:solidFill>
            <a:srgbClr val="808080"/>
          </a:solidFill>
          <a:round/>
        </a:ln>
      </c:spPr>
    </c:plotArea>
    <c:plotVisOnly val="1"/>
    <c:dispBlanksAs val="gap"/>
  </c:chart>
  <c:spPr>
    <a:solidFill>
      <a:srgbClr val="ffffff"/>
    </a:solidFill>
    <a:ln w="0">
      <a:noFill/>
    </a:ln>
  </c:spPr>
  <c:userShapes r:id="rId1"/>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hyperlink" Target="http://www.nice.org.uk/CG98" TargetMode="External"/><Relationship Id="rId2"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4.jpeg"/>
</Relationships>
</file>

<file path=xl/drawings/_rels/drawing6.xml.rels><?xml version="1.0" encoding="UTF-8"?>
<Relationships xmlns="http://schemas.openxmlformats.org/package/2006/relationships"><Relationship Id="rId1" Type="http://schemas.openxmlformats.org/officeDocument/2006/relationships/hyperlink" Target="http://www.nice.org.uk/CG98" TargetMode="External"/><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19800</xdr:colOff>
      <xdr:row>1</xdr:row>
      <xdr:rowOff>19080</xdr:rowOff>
    </xdr:from>
    <xdr:to>
      <xdr:col>8</xdr:col>
      <xdr:colOff>588960</xdr:colOff>
      <xdr:row>52</xdr:row>
      <xdr:rowOff>66600</xdr:rowOff>
    </xdr:to>
    <xdr:pic>
      <xdr:nvPicPr>
        <xdr:cNvPr id="0" name="Picture 7" descr="Clin_Guide_cover_3272"/>
        <xdr:cNvPicPr/>
      </xdr:nvPicPr>
      <xdr:blipFill>
        <a:blip r:embed="rId1"/>
        <a:stretch/>
      </xdr:blipFill>
      <xdr:spPr>
        <a:xfrm>
          <a:off x="19800" y="181080"/>
          <a:ext cx="5674680" cy="8305560"/>
        </a:xfrm>
        <a:prstGeom prst="rect">
          <a:avLst/>
        </a:prstGeom>
        <a:ln w="0">
          <a:noFill/>
        </a:ln>
      </xdr:spPr>
    </xdr:pic>
    <xdr:clientData/>
  </xdr:twoCellAnchor>
  <xdr:twoCellAnchor editAs="oneCell">
    <xdr:from>
      <xdr:col>0</xdr:col>
      <xdr:colOff>109800</xdr:colOff>
      <xdr:row>49</xdr:row>
      <xdr:rowOff>86040</xdr:rowOff>
    </xdr:from>
    <xdr:to>
      <xdr:col>4</xdr:col>
      <xdr:colOff>549000</xdr:colOff>
      <xdr:row>50</xdr:row>
      <xdr:rowOff>161640</xdr:rowOff>
    </xdr:to>
    <xdr:sp>
      <xdr:nvSpPr>
        <xdr:cNvPr id="1" name="Text Box 3"/>
        <xdr:cNvSpPr/>
      </xdr:nvSpPr>
      <xdr:spPr>
        <a:xfrm>
          <a:off x="109800" y="8020440"/>
          <a:ext cx="2991960" cy="23760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ffffff"/>
              </a:solidFill>
              <a:latin typeface="Arial"/>
            </a:rPr>
            <a:t>NICE clinical guideline 98</a:t>
          </a:r>
          <a:endParaRPr b="0" lang="en-US" sz="1200" spc="-1" strike="noStrike">
            <a:latin typeface="Times New Roman"/>
          </a:endParaRPr>
        </a:p>
      </xdr:txBody>
    </xdr:sp>
    <xdr:clientData/>
  </xdr:twoCellAnchor>
  <xdr:twoCellAnchor editAs="oneCell">
    <xdr:from>
      <xdr:col>1</xdr:col>
      <xdr:colOff>189360</xdr:colOff>
      <xdr:row>20</xdr:row>
      <xdr:rowOff>75960</xdr:rowOff>
    </xdr:from>
    <xdr:to>
      <xdr:col>7</xdr:col>
      <xdr:colOff>60480</xdr:colOff>
      <xdr:row>35</xdr:row>
      <xdr:rowOff>104760</xdr:rowOff>
    </xdr:to>
    <xdr:sp>
      <xdr:nvSpPr>
        <xdr:cNvPr id="2" name="TextBox 5"/>
        <xdr:cNvSpPr/>
      </xdr:nvSpPr>
      <xdr:spPr>
        <a:xfrm>
          <a:off x="827640" y="3314520"/>
          <a:ext cx="3700080" cy="245772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1" lang="en-US" sz="1800" spc="-1" strike="noStrike">
              <a:solidFill>
                <a:srgbClr val="000000"/>
              </a:solidFill>
              <a:latin typeface="Arial"/>
            </a:rPr>
            <a:t>Neonatal jaundice</a:t>
          </a:r>
          <a:endParaRPr b="0" lang="en-US" sz="1800" spc="-1" strike="noStrike">
            <a:latin typeface="Times New Roman"/>
          </a:endParaRPr>
        </a:p>
        <a:p>
          <a:endParaRPr b="0" lang="en-US" sz="1600" spc="-1" strike="noStrike">
            <a:latin typeface="Times New Roman"/>
          </a:endParaRPr>
        </a:p>
        <a:p>
          <a:r>
            <a:rPr b="1" lang="en-US" sz="2000" spc="-1" strike="noStrike">
              <a:solidFill>
                <a:srgbClr val="33cccc"/>
              </a:solidFill>
              <a:latin typeface="Arial"/>
            </a:rPr>
            <a:t>Treatment threshold graphs</a:t>
          </a:r>
          <a:endParaRPr b="0" lang="en-US" sz="2000" spc="-1" strike="noStrike">
            <a:latin typeface="Times New Roman"/>
          </a:endParaRPr>
        </a:p>
        <a:p>
          <a:endParaRPr b="0" lang="en-US" sz="1600" spc="-1" strike="noStrike">
            <a:latin typeface="Times New Roman"/>
          </a:endParaRPr>
        </a:p>
        <a:p>
          <a:r>
            <a:rPr b="0" lang="en-US" sz="1600" spc="-1" strike="noStrike">
              <a:solidFill>
                <a:srgbClr val="000000"/>
              </a:solidFill>
              <a:latin typeface="Arial"/>
            </a:rPr>
            <a:t>Graphs for assessing whether to treat neonatal jaundice by phototherapy or exchange transfusion</a:t>
          </a:r>
          <a:endParaRPr b="0" lang="en-US" sz="1600" spc="-1" strike="noStrike">
            <a:latin typeface="Times New Roman"/>
          </a:endParaRPr>
        </a:p>
      </xdr:txBody>
    </xdr:sp>
    <xdr:clientData/>
  </xdr:twoCellAnchor>
  <xdr:twoCellAnchor editAs="oneCell">
    <xdr:from>
      <xdr:col>0</xdr:col>
      <xdr:colOff>209520</xdr:colOff>
      <xdr:row>47</xdr:row>
      <xdr:rowOff>19080</xdr:rowOff>
    </xdr:from>
    <xdr:to>
      <xdr:col>1</xdr:col>
      <xdr:colOff>120240</xdr:colOff>
      <xdr:row>48</xdr:row>
      <xdr:rowOff>75960</xdr:rowOff>
    </xdr:to>
    <xdr:pic>
      <xdr:nvPicPr>
        <xdr:cNvPr id="3" name="Picture 9" descr=""/>
        <xdr:cNvPicPr/>
      </xdr:nvPicPr>
      <xdr:blipFill>
        <a:blip r:embed="rId2"/>
        <a:stretch/>
      </xdr:blipFill>
      <xdr:spPr>
        <a:xfrm>
          <a:off x="209520" y="7629480"/>
          <a:ext cx="549000" cy="218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408960</xdr:colOff>
      <xdr:row>7</xdr:row>
      <xdr:rowOff>152280</xdr:rowOff>
    </xdr:from>
    <xdr:to>
      <xdr:col>12</xdr:col>
      <xdr:colOff>558720</xdr:colOff>
      <xdr:row>19</xdr:row>
      <xdr:rowOff>162000</xdr:rowOff>
    </xdr:to>
    <xdr:sp>
      <xdr:nvSpPr>
        <xdr:cNvPr id="4" name="TextBox 1"/>
        <xdr:cNvSpPr/>
      </xdr:nvSpPr>
      <xdr:spPr>
        <a:xfrm>
          <a:off x="408960" y="1285920"/>
          <a:ext cx="7808040" cy="1952640"/>
        </a:xfrm>
        <a:prstGeom prst="rect">
          <a:avLst/>
        </a:prstGeom>
        <a:solidFill>
          <a:srgbClr val="ffffff"/>
        </a:solidFill>
        <a:ln w="9360">
          <a:solidFill>
            <a:srgbClr val="bcbcbc"/>
          </a:solidFill>
          <a:miter/>
        </a:ln>
      </xdr:spPr>
      <xdr:style>
        <a:lnRef idx="0"/>
        <a:fillRef idx="0"/>
        <a:effectRef idx="0"/>
        <a:fontRef idx="minor"/>
      </xdr:style>
      <xdr:txBody>
        <a:bodyPr lIns="20160" rIns="20160" tIns="20160" bIns="20160" anchor="t">
          <a:noAutofit/>
        </a:bodyPr>
        <a:p>
          <a:r>
            <a:rPr b="0" lang="en-US" sz="1400" spc="-1" strike="noStrike">
              <a:solidFill>
                <a:srgbClr val="000000"/>
              </a:solidFill>
              <a:latin typeface="Calibri"/>
            </a:rPr>
            <a:t>The NCC-WCH and the Guideline Development Group (GDG)would like to thank Dr Giles Kendall MBBS, BSc(hons), MRCPCH PhD Academic Clinical Lecturer Neonatal Medicine University College London / University College London Hospital NHS Foundation Trust, T J Cole, Professor of Medical Statistics, MRC Centre of Epidemiology for Child Health, UCL Institute of Child Health and Janet Rennie, Consultant and Senior Lecturer in Neonatal Medicine, Elizabeth Garrett Anderson Institute for Women's Health, University College London NHS Foundation Trust London for allowing the GDG to adapt their excel spreadsheet in developing the treatment threshold graphs included in this guideline.</a:t>
          </a:r>
          <a:endParaRPr b="0" lang="en-US" sz="1400" spc="-1" strike="noStrike">
            <a:latin typeface="Times New Roman"/>
          </a:endParaRPr>
        </a:p>
        <a:p>
          <a:endParaRPr b="0" lang="en-US" sz="1400" spc="-1" strike="noStrike">
            <a:latin typeface="Times New Roman"/>
          </a:endParaRPr>
        </a:p>
      </xdr:txBody>
    </xdr:sp>
    <xdr:clientData/>
  </xdr:twoCellAnchor>
  <xdr:twoCellAnchor editAs="oneCell">
    <xdr:from>
      <xdr:col>9</xdr:col>
      <xdr:colOff>269280</xdr:colOff>
      <xdr:row>1</xdr:row>
      <xdr:rowOff>19080</xdr:rowOff>
    </xdr:from>
    <xdr:to>
      <xdr:col>12</xdr:col>
      <xdr:colOff>259560</xdr:colOff>
      <xdr:row>5</xdr:row>
      <xdr:rowOff>37800</xdr:rowOff>
    </xdr:to>
    <xdr:pic>
      <xdr:nvPicPr>
        <xdr:cNvPr id="5" name="Picture 1" descr=""/>
        <xdr:cNvPicPr/>
      </xdr:nvPicPr>
      <xdr:blipFill>
        <a:blip r:embed="rId1"/>
        <a:stretch/>
      </xdr:blipFill>
      <xdr:spPr>
        <a:xfrm>
          <a:off x="6012720" y="181080"/>
          <a:ext cx="1905120" cy="6663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49680</xdr:colOff>
      <xdr:row>0</xdr:row>
      <xdr:rowOff>37800</xdr:rowOff>
    </xdr:from>
    <xdr:to>
      <xdr:col>14</xdr:col>
      <xdr:colOff>559080</xdr:colOff>
      <xdr:row>35</xdr:row>
      <xdr:rowOff>37800</xdr:rowOff>
    </xdr:to>
    <xdr:sp>
      <xdr:nvSpPr>
        <xdr:cNvPr id="6" name="Text Box 2">
          <a:hlinkClick r:id="rId1"/>
        </xdr:cNvPr>
        <xdr:cNvSpPr/>
      </xdr:nvSpPr>
      <xdr:spPr>
        <a:xfrm>
          <a:off x="49680" y="37800"/>
          <a:ext cx="9443880" cy="5667480"/>
        </a:xfrm>
        <a:prstGeom prst="rect">
          <a:avLst/>
        </a:prstGeom>
        <a:solidFill>
          <a:srgbClr val="ffffff"/>
        </a:solidFill>
        <a:ln w="9360">
          <a:solidFill>
            <a:srgbClr val="000000"/>
          </a:solidFill>
          <a:miter/>
        </a:ln>
      </xdr:spPr>
      <xdr:style>
        <a:lnRef idx="0"/>
        <a:fillRef idx="0"/>
        <a:effectRef idx="0"/>
        <a:fontRef idx="minor"/>
      </xdr:style>
      <xdr:txBody>
        <a:bodyPr lIns="20160" rIns="20160" tIns="20160" bIns="20160" anchor="t">
          <a:noAutofit/>
        </a:bodyPr>
        <a:p>
          <a:endParaRPr b="0" lang="en-US" sz="1100" spc="-1" strike="noStrike">
            <a:latin typeface="Times New Roman"/>
          </a:endParaRPr>
        </a:p>
        <a:p>
          <a:endParaRPr b="0" lang="en-US" sz="1100" spc="-1" strike="noStrike">
            <a:latin typeface="Times New Roman"/>
          </a:endParaRPr>
        </a:p>
        <a:p>
          <a:endParaRPr b="0" lang="en-US" sz="1100" spc="-1" strike="noStrike">
            <a:latin typeface="Times New Roman"/>
          </a:endParaRPr>
        </a:p>
        <a:p>
          <a:endParaRPr b="0" lang="en-US" sz="1100" spc="-1" strike="noStrike">
            <a:latin typeface="Times New Roman"/>
          </a:endParaRPr>
        </a:p>
        <a:p>
          <a:endParaRPr b="0" lang="en-US" sz="1400" spc="-1" strike="noStrike">
            <a:latin typeface="Times New Roman"/>
          </a:endParaRPr>
        </a:p>
        <a:p>
          <a:r>
            <a:rPr b="1" lang="en-US" sz="1600" spc="-1" strike="noStrike">
              <a:solidFill>
                <a:srgbClr val="000000"/>
              </a:solidFill>
              <a:latin typeface="Arial"/>
            </a:rPr>
            <a:t>Treatment threshold graphs for neonatal jaundice - Instructions</a:t>
          </a:r>
          <a:endParaRPr b="0" lang="en-US" sz="1600" spc="-1" strike="noStrike">
            <a:latin typeface="Times New Roman"/>
          </a:endParaRPr>
        </a:p>
        <a:p>
          <a:endParaRPr b="0" lang="en-US" sz="1100" spc="-1" strike="noStrike">
            <a:latin typeface="Times New Roman"/>
          </a:endParaRPr>
        </a:p>
        <a:p>
          <a:r>
            <a:rPr b="0" lang="en-US" sz="1200" spc="-1" strike="noStrike">
              <a:solidFill>
                <a:srgbClr val="000000"/>
              </a:solidFill>
              <a:latin typeface="Arial"/>
            </a:rPr>
            <a:t>These treatment threshold graphs will help healthcare professionals assess whether babies with jaundice should be given phototherapy or exchange transfusion. Please access the graphs directly from the NICE website to ensure that you are using the correct version of them.</a:t>
          </a:r>
          <a:endParaRPr b="0" lang="en-US" sz="1200" spc="-1" strike="noStrike">
            <a:latin typeface="Times New Roman"/>
          </a:endParaRPr>
        </a:p>
        <a:p>
          <a:endParaRPr b="0" lang="en-US" sz="1200" spc="-1" strike="noStrike">
            <a:latin typeface="Times New Roman"/>
          </a:endParaRPr>
        </a:p>
        <a:p>
          <a:r>
            <a:rPr b="1" lang="en-US" sz="1200" spc="-1" strike="noStrike">
              <a:solidFill>
                <a:srgbClr val="000000"/>
              </a:solidFill>
              <a:latin typeface="Arial"/>
            </a:rPr>
            <a:t>Click on the 'Treatment threshold graphs' tab to access the graphs.  The sheet contains a treatment graph </a:t>
          </a:r>
          <a:r>
            <a:rPr b="1" lang="en-US" sz="1200" spc="-1" strike="noStrike" u="sng">
              <a:solidFill>
                <a:srgbClr val="000000"/>
              </a:solidFill>
              <a:uFillTx/>
              <a:latin typeface="Arial"/>
            </a:rPr>
            <a:t>for each gestational age</a:t>
          </a:r>
          <a:r>
            <a:rPr b="1" lang="en-US" sz="1200" spc="-1" strike="noStrike">
              <a:solidFill>
                <a:srgbClr val="000000"/>
              </a:solidFill>
              <a:latin typeface="Arial"/>
            </a:rPr>
            <a:t>.  Before printing, use the drop-down menu that is marked in red to choose the graph for the correct gestational age for each baby with jaundice.</a:t>
          </a:r>
          <a:r>
            <a:rPr b="0" lang="en-US" sz="1200" spc="-1" strike="noStrike">
              <a:solidFill>
                <a:srgbClr val="000000"/>
              </a:solidFill>
              <a:latin typeface="Arial"/>
            </a:rPr>
            <a:t> </a:t>
          </a:r>
          <a:endParaRPr b="0" lang="en-US" sz="1200" spc="-1" strike="noStrike">
            <a:latin typeface="Times New Roman"/>
          </a:endParaRPr>
        </a:p>
        <a:p>
          <a:endParaRPr b="0" lang="en-US" sz="1200" spc="-1" strike="noStrike">
            <a:latin typeface="Times New Roman"/>
          </a:endParaRPr>
        </a:p>
        <a:p>
          <a:r>
            <a:rPr b="0" lang="en-US" sz="1200" spc="-1" strike="noStrike">
              <a:solidFill>
                <a:srgbClr val="000000"/>
              </a:solidFill>
              <a:latin typeface="Arial"/>
            </a:rPr>
            <a:t>Print off the graph and keep it with the baby’s notes. Plot the baby’s bilirubin level on the graph each time it is measured, against the baby's age. Each line on the horizontal (x) axis is equal to 6 hours and each line on the vertical (y) axis is equal to 10 micromol/ litre. Assess whether the threshold for either phototherapy or exchange transfusion has been reached. Refer to the NICE neonatal jaundice guideline for detailed recommendations about the treatment of neonatal jaundice </a:t>
          </a:r>
          <a:r>
            <a:rPr b="0" lang="en-US" sz="1200" spc="-1" strike="noStrike" u="sng">
              <a:solidFill>
                <a:srgbClr val="000000"/>
              </a:solidFill>
              <a:uFillTx/>
              <a:latin typeface="Arial"/>
            </a:rPr>
            <a:t>www.nice.org.uk/guidance/CG98/QuickRefGuide</a:t>
          </a:r>
          <a:r>
            <a:rPr b="0" lang="en-US" sz="1200" spc="-1" strike="noStrike">
              <a:solidFill>
                <a:srgbClr val="000000"/>
              </a:solidFill>
              <a:latin typeface="Arial"/>
            </a:rPr>
            <a:t>.  Shade the 'single' or 'multiple' cells to show the type of phototherapy that the baby is receiving on each day.</a:t>
          </a:r>
          <a:endParaRPr b="0" lang="en-US" sz="1200" spc="-1" strike="noStrike">
            <a:latin typeface="Times New Roman"/>
          </a:endParaRPr>
        </a:p>
        <a:p>
          <a:endParaRPr b="0" lang="en-US" sz="1200" spc="-1" strike="noStrike">
            <a:latin typeface="Times New Roman"/>
          </a:endParaRPr>
        </a:p>
        <a:p>
          <a:r>
            <a:rPr b="1" lang="en-US" sz="1200" spc="-1" strike="noStrike">
              <a:solidFill>
                <a:srgbClr val="000000"/>
              </a:solidFill>
              <a:latin typeface="Arial"/>
            </a:rPr>
            <a:t>Following a query to NICE about how the treatment threshold graphs for babies with jaundice should be used, please note:</a:t>
          </a:r>
          <a:r>
            <a:rPr b="0" lang="en-US" sz="1200" spc="-1" strike="noStrike">
              <a:solidFill>
                <a:srgbClr val="000000"/>
              </a:solidFill>
              <a:latin typeface="Arial"/>
            </a:rPr>
            <a:t> The graph that reflects the baby’s actual gestational age should continue to be used until the baby is 14 days old. The baby’s 'corrected’ gestational age should not be taken into consideration, and you should not move up to the next graph when the baby is 7 days old. For example, for a baby of 35 weeks’ gestation, the 35-week gestation graph should be used until the baby is aged 14 days. Please note that the NICE guideline does not cover treatment with phototherapy and exchange transfusion for babies older than 14 days. Trusts should therefore agree their own policy about when to treat babies over 14 days with phototherapy and exchange transfusion.</a:t>
          </a:r>
          <a:endParaRPr b="0" lang="en-US" sz="1200" spc="-1" strike="noStrike">
            <a:latin typeface="Times New Roman"/>
          </a:endParaRPr>
        </a:p>
        <a:p>
          <a:endParaRPr b="0" lang="en-US" sz="1200" spc="-1" strike="noStrike">
            <a:latin typeface="Times New Roman"/>
          </a:endParaRPr>
        </a:p>
        <a:p>
          <a:r>
            <a:rPr b="0" lang="en-US" sz="1200" spc="-1" strike="noStrike">
              <a:solidFill>
                <a:srgbClr val="000000"/>
              </a:solidFill>
              <a:latin typeface="Arial"/>
            </a:rPr>
            <a:t>The NICE neonatal jaundice guideline and all implementation tools can be found at </a:t>
          </a:r>
          <a:r>
            <a:rPr b="0" lang="en-US" sz="1200" spc="-1" strike="noStrike" u="sng">
              <a:solidFill>
                <a:srgbClr val="000000"/>
              </a:solidFill>
              <a:uFillTx/>
              <a:latin typeface="Arial"/>
            </a:rPr>
            <a:t>www.nice.org.uk/guidance/CG98</a:t>
          </a:r>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300" spc="-1" strike="noStrike">
            <a:latin typeface="Times New Roman"/>
          </a:endParaRPr>
        </a:p>
        <a:p>
          <a:endParaRPr b="0" lang="en-US" sz="1400" spc="-1" strike="noStrike">
            <a:latin typeface="Times New Roman"/>
          </a:endParaRPr>
        </a:p>
        <a:p>
          <a:endParaRPr b="0" lang="en-US" sz="900" spc="-1" strike="noStrike">
            <a:latin typeface="Times New Roman"/>
          </a:endParaRPr>
        </a:p>
        <a:p>
          <a:endParaRPr b="0" lang="en-US" sz="1100" spc="-1" strike="noStrike">
            <a:latin typeface="Times New Roman"/>
          </a:endParaRPr>
        </a:p>
        <a:p>
          <a:endParaRPr b="0" lang="en-US" sz="11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100" spc="-1" strike="noStrike">
            <a:latin typeface="Times New Roman"/>
          </a:endParaRPr>
        </a:p>
        <a:p>
          <a:endParaRPr b="0" lang="en-US" sz="1100" spc="-1" strike="noStrike">
            <a:latin typeface="Times New Roman"/>
          </a:endParaRPr>
        </a:p>
      </xdr:txBody>
    </xdr:sp>
    <xdr:clientData/>
  </xdr:twoCellAnchor>
  <xdr:twoCellAnchor editAs="oneCell">
    <xdr:from>
      <xdr:col>11</xdr:col>
      <xdr:colOff>159480</xdr:colOff>
      <xdr:row>0</xdr:row>
      <xdr:rowOff>152280</xdr:rowOff>
    </xdr:from>
    <xdr:to>
      <xdr:col>14</xdr:col>
      <xdr:colOff>150120</xdr:colOff>
      <xdr:row>5</xdr:row>
      <xdr:rowOff>9360</xdr:rowOff>
    </xdr:to>
    <xdr:pic>
      <xdr:nvPicPr>
        <xdr:cNvPr id="7" name="Picture 1" descr=""/>
        <xdr:cNvPicPr/>
      </xdr:nvPicPr>
      <xdr:blipFill>
        <a:blip r:embed="rId2"/>
        <a:stretch/>
      </xdr:blipFill>
      <xdr:spPr>
        <a:xfrm>
          <a:off x="7179480" y="152280"/>
          <a:ext cx="1905120" cy="666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60480</xdr:colOff>
      <xdr:row>18</xdr:row>
      <xdr:rowOff>123840</xdr:rowOff>
    </xdr:from>
    <xdr:to>
      <xdr:col>0</xdr:col>
      <xdr:colOff>101160</xdr:colOff>
      <xdr:row>20</xdr:row>
      <xdr:rowOff>38160</xdr:rowOff>
    </xdr:to>
    <xdr:sp>
      <xdr:nvSpPr>
        <xdr:cNvPr id="8" name="Text Box 6"/>
        <xdr:cNvSpPr/>
      </xdr:nvSpPr>
      <xdr:spPr>
        <a:xfrm>
          <a:off x="60480" y="3714840"/>
          <a:ext cx="40680" cy="237960"/>
        </a:xfrm>
        <a:prstGeom prst="rect">
          <a:avLst/>
        </a:prstGeom>
        <a:noFill/>
        <a:ln w="0">
          <a:noFill/>
        </a:ln>
      </xdr:spPr>
      <xdr:style>
        <a:lnRef idx="0"/>
        <a:fillRef idx="0"/>
        <a:effectRef idx="0"/>
        <a:fontRef idx="minor"/>
      </xdr:style>
    </xdr:sp>
    <xdr:clientData/>
  </xdr:twoCellAnchor>
  <xdr:twoCellAnchor editAs="oneCell">
    <xdr:from>
      <xdr:col>0</xdr:col>
      <xdr:colOff>10080</xdr:colOff>
      <xdr:row>45</xdr:row>
      <xdr:rowOff>86040</xdr:rowOff>
    </xdr:from>
    <xdr:to>
      <xdr:col>0</xdr:col>
      <xdr:colOff>30960</xdr:colOff>
      <xdr:row>46</xdr:row>
      <xdr:rowOff>114480</xdr:rowOff>
    </xdr:to>
    <xdr:sp>
      <xdr:nvSpPr>
        <xdr:cNvPr id="9" name="Text Box 49"/>
        <xdr:cNvSpPr/>
      </xdr:nvSpPr>
      <xdr:spPr>
        <a:xfrm>
          <a:off x="10080" y="8048880"/>
          <a:ext cx="20880" cy="190440"/>
        </a:xfrm>
        <a:prstGeom prst="rect">
          <a:avLst/>
        </a:prstGeom>
        <a:noFill/>
        <a:ln w="0">
          <a:noFill/>
        </a:ln>
      </xdr:spPr>
      <xdr:style>
        <a:lnRef idx="0"/>
        <a:fillRef idx="0"/>
        <a:effectRef idx="0"/>
        <a:fontRef idx="minor"/>
      </xdr:style>
    </xdr:sp>
    <xdr:clientData/>
  </xdr:twoCellAnchor>
  <xdr:twoCellAnchor editAs="oneCell">
    <xdr:from>
      <xdr:col>10</xdr:col>
      <xdr:colOff>362160</xdr:colOff>
      <xdr:row>5</xdr:row>
      <xdr:rowOff>0</xdr:rowOff>
    </xdr:from>
    <xdr:to>
      <xdr:col>10</xdr:col>
      <xdr:colOff>382680</xdr:colOff>
      <xdr:row>5</xdr:row>
      <xdr:rowOff>171720</xdr:rowOff>
    </xdr:to>
    <xdr:sp>
      <xdr:nvSpPr>
        <xdr:cNvPr id="10" name="Text Box 55"/>
        <xdr:cNvSpPr/>
      </xdr:nvSpPr>
      <xdr:spPr>
        <a:xfrm>
          <a:off x="7415280" y="1190520"/>
          <a:ext cx="20520" cy="171720"/>
        </a:xfrm>
        <a:prstGeom prst="rect">
          <a:avLst/>
        </a:prstGeom>
        <a:noFill/>
        <a:ln w="0">
          <a:noFill/>
        </a:ln>
      </xdr:spPr>
      <xdr:style>
        <a:lnRef idx="0"/>
        <a:fillRef idx="0"/>
        <a:effectRef idx="0"/>
        <a:fontRef idx="minor"/>
      </xdr:style>
    </xdr:sp>
    <xdr:clientData/>
  </xdr:twoCellAnchor>
  <xdr:twoCellAnchor editAs="oneCell">
    <xdr:from>
      <xdr:col>0</xdr:col>
      <xdr:colOff>10080</xdr:colOff>
      <xdr:row>6</xdr:row>
      <xdr:rowOff>86040</xdr:rowOff>
    </xdr:from>
    <xdr:to>
      <xdr:col>16</xdr:col>
      <xdr:colOff>120600</xdr:colOff>
      <xdr:row>45</xdr:row>
      <xdr:rowOff>56880</xdr:rowOff>
    </xdr:to>
    <xdr:graphicFrame>
      <xdr:nvGraphicFramePr>
        <xdr:cNvPr id="11" name="Chart 47"/>
        <xdr:cNvGraphicFramePr/>
      </xdr:nvGraphicFramePr>
      <xdr:xfrm>
        <a:off x="10080" y="1733760"/>
        <a:ext cx="11097360" cy="6285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221400</xdr:colOff>
      <xdr:row>0</xdr:row>
      <xdr:rowOff>38160</xdr:rowOff>
    </xdr:from>
    <xdr:to>
      <xdr:col>16</xdr:col>
      <xdr:colOff>180720</xdr:colOff>
      <xdr:row>1</xdr:row>
      <xdr:rowOff>200160</xdr:rowOff>
    </xdr:to>
    <xdr:pic>
      <xdr:nvPicPr>
        <xdr:cNvPr id="14" name="Picture 57" descr="NICE"/>
        <xdr:cNvPicPr/>
      </xdr:nvPicPr>
      <xdr:blipFill>
        <a:blip r:embed="rId2"/>
        <a:stretch/>
      </xdr:blipFill>
      <xdr:spPr>
        <a:xfrm>
          <a:off x="9276480" y="38160"/>
          <a:ext cx="1891080" cy="399960"/>
        </a:xfrm>
        <a:prstGeom prst="rect">
          <a:avLst/>
        </a:prstGeom>
        <a:ln w="0">
          <a:noFill/>
        </a:ln>
      </xdr:spPr>
    </xdr:pic>
    <xdr:clientData/>
  </xdr:twoCellAnchor>
</xdr:wsDr>
</file>

<file path=xl/drawings/drawing5.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0.0687384435721932</cdr:x>
      <cdr:y>0.0637384033902188</cdr:y>
    </cdr:from>
    <cdr:to>
      <cdr:x>0.993252668115613</cdr:x>
      <cdr:y>0.0777688695452984</cdr:y>
    </cdr:to>
    <cdr:sp>
      <cdr:nvSpPr>
        <cdr:cNvPr id="12" name="Rectangle 1027"/>
        <cdr:cNvSpPr/>
      </cdr:nvSpPr>
      <cdr:spPr>
        <a:xfrm>
          <a:off x="762840" y="400680"/>
          <a:ext cx="10260000" cy="88200"/>
        </a:xfrm>
        <a:prstGeom prst="rect">
          <a:avLst/>
        </a:prstGeom>
        <a:solidFill>
          <a:srgbClr val="ffffff"/>
        </a:solidFill>
        <a:ln w="0">
          <a:noFill/>
        </a:ln>
      </cdr:spPr>
      <cdr:style>
        <a:lnRef idx="0"/>
        <a:fillRef idx="0"/>
        <a:effectRef idx="0"/>
        <a:fontRef idx="minor"/>
      </cdr:style>
    </cdr:sp>
  </cdr:relSizeAnchor>
  <cdr:relSizeAnchor>
    <cdr:from>
      <cdr:x>0.0627372108865605</cdr:x>
      <cdr:y>0.0254839079143283</cdr:y>
    </cdr:from>
    <cdr:to>
      <cdr:x>16.3792454666364</cdr:x>
      <cdr:y>0.0612759134119803</cdr:y>
    </cdr:to>
    <cdr:sp>
      <cdr:nvSpPr>
        <cdr:cNvPr id="13" name="Text Box 60"/>
        <cdr:cNvSpPr/>
      </cdr:nvSpPr>
      <cdr:spPr>
        <a:xfrm>
          <a:off x="696240" y="160200"/>
          <a:ext cx="181076040" cy="225000"/>
        </a:xfrm>
        <a:custGeom>
          <a:avLst/>
          <a:gdLst/>
          <a:ahLst/>
          <a:rect l="l" t="t" r="r" b="b"/>
          <a:pathLst>
            <a:path w="21600" h="21600">
              <a:moveTo>
                <a:pt x="0" y="0"/>
              </a:moveTo>
              <a:lnTo>
                <a:pt x="21600" y="0"/>
              </a:lnTo>
              <a:lnTo>
                <a:pt x="21600" y="21600"/>
              </a:lnTo>
              <a:lnTo>
                <a:pt x="0" y="21600"/>
              </a:lnTo>
              <a:lnTo>
                <a:pt x="0" y="0"/>
              </a:lnTo>
              <a:close/>
            </a:path>
          </a:pathLst>
        </a:custGeom>
        <a:noFill/>
        <a:ln w="0">
          <a:noFill/>
        </a:ln>
      </cdr:spPr>
      <cdr:style>
        <a:lnRef idx="0"/>
        <a:fillRef idx="0"/>
        <a:effectRef idx="0"/>
        <a:fontRef idx="minor"/>
      </cdr:style>
      <cdr:txBody>
        <a:bodyPr lIns="0" rIns="0" tIns="0" bIns="0" anchor="t">
          <a:noAutofit/>
        </a:bodyPr>
        <a:p>
          <a:pPr algn="r"/>
          <a:r>
            <a:rPr b="0" sz="900" spc="-1" strike="noStrike">
              <a:solidFill>
                <a:srgbClr val="000000"/>
              </a:solidFill>
              <a:latin typeface="Arial"/>
            </a:rPr>
            <a:t>Multiple</a:t>
          </a:r>
          <a:endParaRPr b="0" sz="900" spc="-1" strike="noStrike">
            <a:latin typeface="Times New Roman"/>
          </a:endParaRPr>
        </a:p>
        <a:p>
          <a:pPr algn="r"/>
          <a:r>
            <a:rPr b="0" sz="900" spc="-1" strike="noStrike">
              <a:solidFill>
                <a:srgbClr val="000000"/>
              </a:solidFill>
              <a:latin typeface="Arial"/>
            </a:rPr>
            <a:t>Single</a:t>
          </a:r>
          <a:endParaRPr b="0" sz="900" spc="-1" strike="noStrike">
            <a:latin typeface="Times New Roman"/>
          </a:endParaRPr>
        </a:p>
      </cdr:txBody>
    </cdr:sp>
  </cdr:relSizeAnchor>
</c:userShape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89640</xdr:colOff>
      <xdr:row>0</xdr:row>
      <xdr:rowOff>56880</xdr:rowOff>
    </xdr:from>
    <xdr:to>
      <xdr:col>13</xdr:col>
      <xdr:colOff>628920</xdr:colOff>
      <xdr:row>38</xdr:row>
      <xdr:rowOff>123840</xdr:rowOff>
    </xdr:to>
    <xdr:sp>
      <xdr:nvSpPr>
        <xdr:cNvPr id="15" name="Text Box 2">
          <a:hlinkClick r:id="rId1"/>
        </xdr:cNvPr>
        <xdr:cNvSpPr/>
      </xdr:nvSpPr>
      <xdr:spPr>
        <a:xfrm>
          <a:off x="89640" y="56880"/>
          <a:ext cx="8835480" cy="6220080"/>
        </a:xfrm>
        <a:prstGeom prst="rect">
          <a:avLst/>
        </a:prstGeom>
        <a:solidFill>
          <a:srgbClr val="ffffff"/>
        </a:solidFill>
        <a:ln w="9360">
          <a:solidFill>
            <a:srgbClr val="000000"/>
          </a:solidFill>
          <a:miter/>
        </a:ln>
      </xdr:spPr>
      <xdr:style>
        <a:lnRef idx="0"/>
        <a:fillRef idx="0"/>
        <a:effectRef idx="0"/>
        <a:fontRef idx="minor"/>
      </xdr:style>
      <xdr:txBody>
        <a:bodyPr lIns="20160" rIns="20160" tIns="20160" bIns="20160" anchor="t">
          <a:noAutofit/>
        </a:bodyPr>
        <a:p>
          <a:endParaRPr b="0" lang="en-US" sz="1100" spc="-1" strike="noStrike">
            <a:latin typeface="Times New Roman"/>
          </a:endParaRPr>
        </a:p>
        <a:p>
          <a:endParaRPr b="0" lang="en-US" sz="1100" spc="-1" strike="noStrike">
            <a:latin typeface="Times New Roman"/>
          </a:endParaRPr>
        </a:p>
        <a:p>
          <a:endParaRPr b="0" lang="en-US" sz="1100" spc="-1" strike="noStrike">
            <a:latin typeface="Times New Roman"/>
          </a:endParaRPr>
        </a:p>
        <a:p>
          <a:endParaRPr b="0" lang="en-US" sz="1400" spc="-1" strike="noStrike">
            <a:latin typeface="Times New Roman"/>
          </a:endParaRPr>
        </a:p>
        <a:p>
          <a:endParaRPr b="0" lang="en-US" sz="1400" spc="-1" strike="noStrike">
            <a:latin typeface="Times New Roman"/>
          </a:endParaRPr>
        </a:p>
        <a:p>
          <a:r>
            <a:rPr b="1" lang="en-US" sz="1400" spc="-1" strike="noStrike">
              <a:solidFill>
                <a:srgbClr val="000000"/>
              </a:solidFill>
              <a:latin typeface="Arial"/>
            </a:rPr>
            <a:t>Where to find the guidance</a:t>
          </a:r>
          <a:endParaRPr b="0" lang="en-US" sz="1400" spc="-1" strike="noStrike">
            <a:latin typeface="Times New Roman"/>
          </a:endParaRPr>
        </a:p>
        <a:p>
          <a:endParaRPr b="0" lang="en-US" sz="1400" spc="-1" strike="noStrike">
            <a:latin typeface="Times New Roman"/>
          </a:endParaRPr>
        </a:p>
        <a:p>
          <a:r>
            <a:rPr b="0" lang="en-US" sz="1100" spc="-1" strike="noStrike">
              <a:solidFill>
                <a:srgbClr val="000000"/>
              </a:solidFill>
              <a:latin typeface="Arial"/>
            </a:rPr>
            <a:t>The NICE neonatal jaundice guideline contains recommendations about the recognition, assessment and treatment of neonatal jaundice.</a:t>
          </a:r>
          <a:endParaRPr b="0" lang="en-US" sz="1100" spc="-1" strike="noStrike">
            <a:latin typeface="Times New Roman"/>
          </a:endParaRPr>
        </a:p>
        <a:p>
          <a:r>
            <a:rPr b="0" lang="en-US" sz="1100" spc="-1" strike="noStrike">
              <a:solidFill>
                <a:srgbClr val="000000"/>
              </a:solidFill>
              <a:latin typeface="Arial"/>
            </a:rPr>
            <a:t>       </a:t>
          </a:r>
          <a:endParaRPr b="0" lang="en-US" sz="1100" spc="-1" strike="noStrike">
            <a:latin typeface="Times New Roman"/>
          </a:endParaRPr>
        </a:p>
        <a:p>
          <a:r>
            <a:rPr b="0" lang="en-US" sz="1100" spc="-1" strike="noStrike">
              <a:solidFill>
                <a:srgbClr val="000000"/>
              </a:solidFill>
              <a:latin typeface="Arial"/>
            </a:rPr>
            <a:t>You can download the following documents from </a:t>
          </a:r>
          <a:r>
            <a:rPr b="0" lang="en-US" sz="1100" spc="-1" strike="noStrike" u="sng">
              <a:solidFill>
                <a:srgbClr val="000000"/>
              </a:solidFill>
              <a:uFillTx/>
              <a:latin typeface="Arial"/>
            </a:rPr>
            <a:t>www.nice.org.uk/ guidance/CG98</a:t>
          </a:r>
          <a:r>
            <a:rPr b="0" lang="en-US" sz="1200" spc="-1" strike="noStrike">
              <a:solidFill>
                <a:srgbClr val="0000ff"/>
              </a:solidFill>
              <a:latin typeface="Arial"/>
            </a:rPr>
            <a:t>. </a:t>
          </a:r>
          <a:endParaRPr b="0" lang="en-US" sz="1200" spc="-1" strike="noStrike">
            <a:latin typeface="Times New Roman"/>
          </a:endParaRPr>
        </a:p>
        <a:p>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The NICE guideline – all the recommendations</a:t>
          </a:r>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The full guideline – all the recommendations, details of how they were developed and summaries of the evidence they were based on</a:t>
          </a:r>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The quick reference guide – a summary of the recommendations for healthcare professionals (</a:t>
          </a:r>
          <a:r>
            <a:rPr b="0" lang="en-US" sz="1100" spc="-1" strike="noStrike" u="sng">
              <a:solidFill>
                <a:srgbClr val="000000"/>
              </a:solidFill>
              <a:uFillTx/>
              <a:latin typeface="Arial"/>
            </a:rPr>
            <a:t>www.nice.org.uk/guidance/CG98/QuickRefGuide</a:t>
          </a:r>
          <a:r>
            <a:rPr b="0" lang="en-US" sz="1100" spc="-1" strike="noStrike">
              <a:solidFill>
                <a:srgbClr val="000000"/>
              </a:solidFill>
              <a:latin typeface="Arial"/>
            </a:rPr>
            <a:t>)</a:t>
          </a:r>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a:t>
          </a:r>
          <a:r>
            <a:rPr b="0" lang="en-US" sz="1100" spc="-1" strike="noStrike">
              <a:solidFill>
                <a:srgbClr val="000000"/>
              </a:solidFill>
              <a:latin typeface="Arial"/>
            </a:rPr>
            <a:t>Understanding NICE guidance’ – a version of the guideline for parents and carers</a:t>
          </a:r>
          <a:endParaRPr b="0" lang="en-US" sz="1100" spc="-1" strike="noStrike">
            <a:latin typeface="Times New Roman"/>
          </a:endParaRPr>
        </a:p>
        <a:p>
          <a:endParaRPr b="0" lang="en-US" sz="1100" spc="-1" strike="noStrike">
            <a:latin typeface="Times New Roman"/>
          </a:endParaRPr>
        </a:p>
        <a:p>
          <a:r>
            <a:rPr b="0" lang="en-US" sz="1100" spc="-1" strike="noStrike">
              <a:solidFill>
                <a:srgbClr val="000000"/>
              </a:solidFill>
              <a:latin typeface="Arial"/>
            </a:rPr>
            <a:t>For printed copies of the quick reference guide or ‘Understanding NICE</a:t>
          </a:r>
          <a:endParaRPr b="0" lang="en-US" sz="1100" spc="-1" strike="noStrike">
            <a:latin typeface="Times New Roman"/>
          </a:endParaRPr>
        </a:p>
        <a:p>
          <a:r>
            <a:rPr b="0" lang="en-US" sz="1100" spc="-1" strike="noStrike">
              <a:solidFill>
                <a:srgbClr val="000000"/>
              </a:solidFill>
              <a:latin typeface="Arial"/>
            </a:rPr>
            <a:t>guidance’ phone NICE publications on 0845 003 7783 or email</a:t>
          </a:r>
          <a:endParaRPr b="0" lang="en-US" sz="1100" spc="-1" strike="noStrike">
            <a:latin typeface="Times New Roman"/>
          </a:endParaRPr>
        </a:p>
        <a:p>
          <a:r>
            <a:rPr b="0" lang="en-US" sz="1100" spc="-1" strike="noStrike">
              <a:solidFill>
                <a:srgbClr val="0000ff"/>
              </a:solidFill>
              <a:latin typeface="Arial"/>
            </a:rPr>
            <a:t>publications@nice.org.uk</a:t>
          </a:r>
          <a:r>
            <a:rPr b="0" lang="en-US" sz="1100" spc="-1" strike="noStrike">
              <a:solidFill>
                <a:srgbClr val="000000"/>
              </a:solidFill>
              <a:latin typeface="Arial"/>
            </a:rPr>
            <a:t> and quote:</a:t>
          </a:r>
          <a:endParaRPr b="0" lang="en-US" sz="1100" spc="-1" strike="noStrike">
            <a:latin typeface="Times New Roman"/>
          </a:endParaRPr>
        </a:p>
        <a:p>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N2143 </a:t>
          </a:r>
          <a:r>
            <a:rPr b="0" lang="en-US" sz="1000" spc="-1" strike="noStrike">
              <a:solidFill>
                <a:srgbClr val="000000"/>
              </a:solidFill>
              <a:latin typeface="Calibri"/>
            </a:rPr>
            <a:t>– </a:t>
          </a:r>
          <a:r>
            <a:rPr b="0" lang="en-US" sz="1100" spc="-1" strike="noStrike">
              <a:solidFill>
                <a:srgbClr val="000000"/>
              </a:solidFill>
              <a:latin typeface="Arial"/>
            </a:rPr>
            <a:t> (quick reference guide)</a:t>
          </a:r>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N2144 </a:t>
          </a:r>
          <a:r>
            <a:rPr b="0" lang="en-US" sz="1000" spc="-1" strike="noStrike">
              <a:solidFill>
                <a:srgbClr val="000000"/>
              </a:solidFill>
              <a:latin typeface="Calibri"/>
            </a:rPr>
            <a:t>–</a:t>
          </a:r>
          <a:r>
            <a:rPr b="0" lang="en-US" sz="1100" spc="-1" strike="noStrike">
              <a:solidFill>
                <a:srgbClr val="000000"/>
              </a:solidFill>
              <a:latin typeface="Arial"/>
            </a:rPr>
            <a:t>  (‘Understanding NICE guidance’)</a:t>
          </a:r>
          <a:endParaRPr b="0" lang="en-US" sz="1100" spc="-1" strike="noStrike">
            <a:latin typeface="Times New Roman"/>
          </a:endParaRPr>
        </a:p>
        <a:p>
          <a:endParaRPr b="0" lang="en-US" sz="1100" spc="-1" strike="noStrike">
            <a:latin typeface="Times New Roman"/>
          </a:endParaRPr>
        </a:p>
        <a:p>
          <a:r>
            <a:rPr b="0" lang="en-US" sz="1100" spc="-1" strike="noStrike">
              <a:solidFill>
                <a:srgbClr val="000000"/>
              </a:solidFill>
              <a:latin typeface="Arial"/>
            </a:rPr>
            <a:t>Other implementation tools are available from the NICE website:</a:t>
          </a:r>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slide set</a:t>
          </a:r>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parent information factsheet</a:t>
          </a:r>
          <a:endParaRPr b="0" lang="en-US" sz="1100" spc="-1" strike="noStrike">
            <a:latin typeface="Times New Roman"/>
          </a:endParaRPr>
        </a:p>
        <a:p>
          <a:r>
            <a:rPr b="0" lang="en-US" sz="1100" spc="-1" strike="noStrike">
              <a:solidFill>
                <a:srgbClr val="000000"/>
              </a:solidFill>
              <a:latin typeface="Symbol"/>
            </a:rPr>
            <a:t>    </a:t>
          </a:r>
          <a:r>
            <a:rPr b="0" lang="en-US" sz="1100" spc="-1" strike="noStrike">
              <a:solidFill>
                <a:srgbClr val="000000"/>
              </a:solidFill>
              <a:latin typeface="Arial"/>
            </a:rPr>
            <a:t>audit tools</a:t>
          </a:r>
          <a:endParaRPr b="0" lang="en-US" sz="1100" spc="-1" strike="noStrike">
            <a:latin typeface="Times New Roman"/>
          </a:endParaRPr>
        </a:p>
        <a:p>
          <a:r>
            <a:rPr b="0" lang="en-US" sz="1100" spc="-1" strike="noStrike">
              <a:solidFill>
                <a:srgbClr val="000000"/>
              </a:solidFill>
              <a:latin typeface="Symbol"/>
            </a:rPr>
            <a:t></a:t>
          </a:r>
          <a:r>
            <a:rPr b="0" lang="en-US" sz="1100" spc="-1" strike="noStrike">
              <a:solidFill>
                <a:srgbClr val="000000"/>
              </a:solidFill>
              <a:latin typeface="Arial"/>
            </a:rPr>
            <a:t>   </a:t>
          </a:r>
          <a:r>
            <a:rPr b="0" lang="en-US" sz="1100" spc="-1" strike="noStrike">
              <a:solidFill>
                <a:srgbClr val="000000"/>
              </a:solidFill>
              <a:latin typeface="Arial"/>
            </a:rPr>
            <a:t>costing tools</a:t>
          </a:r>
          <a:endParaRPr b="0" lang="en-US" sz="1100" spc="-1" strike="noStrike">
            <a:latin typeface="Times New Roman"/>
          </a:endParaRPr>
        </a:p>
        <a:p>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National Institute for Health and Clinical Excellence</a:t>
          </a:r>
          <a:endParaRPr b="0" lang="en-US" sz="1100" spc="-1" strike="noStrike">
            <a:latin typeface="Times New Roman"/>
          </a:endParaRPr>
        </a:p>
        <a:p>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71 High Holborn</a:t>
          </a:r>
          <a:endParaRPr b="0" lang="en-US" sz="1100" spc="-1" strike="noStrike">
            <a:latin typeface="Times New Roman"/>
          </a:endParaRPr>
        </a:p>
        <a:p>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London</a:t>
          </a:r>
          <a:endParaRPr b="0" lang="en-US" sz="1100" spc="-1" strike="noStrike">
            <a:latin typeface="Times New Roman"/>
          </a:endParaRPr>
        </a:p>
        <a:p>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	</a:t>
          </a:r>
          <a:r>
            <a:rPr b="0" lang="en-US" sz="1100" spc="-1" strike="noStrike">
              <a:solidFill>
                <a:srgbClr val="000000"/>
              </a:solidFill>
              <a:latin typeface="Arial"/>
            </a:rPr>
            <a:t>WC1V 6NA</a:t>
          </a:r>
          <a:endParaRPr b="0" lang="en-US" sz="1100" spc="-1" strike="noStrike">
            <a:latin typeface="Times New Roman"/>
          </a:endParaRPr>
        </a:p>
        <a:p>
          <a:r>
            <a:rPr b="0" lang="en-US" sz="1100" spc="-1" strike="noStrike">
              <a:solidFill>
                <a:srgbClr val="0000ff"/>
              </a:solidFill>
              <a:latin typeface="Arial"/>
            </a:rPr>
            <a:t>	</a:t>
          </a:r>
          <a:r>
            <a:rPr b="0" lang="en-US" sz="1100" spc="-1" strike="noStrike">
              <a:solidFill>
                <a:srgbClr val="0000ff"/>
              </a:solidFill>
              <a:latin typeface="Arial"/>
            </a:rPr>
            <a:t>	</a:t>
          </a:r>
          <a:r>
            <a:rPr b="0" lang="en-US" sz="1100" spc="-1" strike="noStrike">
              <a:solidFill>
                <a:srgbClr val="0000ff"/>
              </a:solidFill>
              <a:latin typeface="Arial"/>
            </a:rPr>
            <a:t>	</a:t>
          </a:r>
          <a:r>
            <a:rPr b="0" lang="en-US" sz="1100" spc="-1" strike="noStrike">
              <a:solidFill>
                <a:srgbClr val="0000ff"/>
              </a:solidFill>
              <a:latin typeface="Arial"/>
            </a:rPr>
            <a:t>	</a:t>
          </a:r>
          <a:r>
            <a:rPr b="0" lang="en-US" sz="1100" spc="-1" strike="noStrike">
              <a:solidFill>
                <a:srgbClr val="0000ff"/>
              </a:solidFill>
              <a:latin typeface="Arial"/>
            </a:rPr>
            <a:t>	</a:t>
          </a:r>
          <a:r>
            <a:rPr b="0" lang="en-US" sz="1000" spc="-1" strike="noStrike" u="sng">
              <a:solidFill>
                <a:srgbClr val="000000"/>
              </a:solidFill>
              <a:uFillTx/>
              <a:latin typeface="Arial"/>
            </a:rPr>
            <a:t>www.nice.org.uk</a:t>
          </a:r>
          <a:endParaRPr b="0" lang="en-US" sz="10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a:p>
          <a:endParaRPr b="0" lang="en-US" sz="1200" spc="-1" strike="noStrike">
            <a:latin typeface="Times New Roman"/>
          </a:endParaRPr>
        </a:p>
      </xdr:txBody>
    </xdr:sp>
    <xdr:clientData/>
  </xdr:twoCellAnchor>
  <xdr:twoCellAnchor editAs="oneCell">
    <xdr:from>
      <xdr:col>9</xdr:col>
      <xdr:colOff>419040</xdr:colOff>
      <xdr:row>1</xdr:row>
      <xdr:rowOff>47520</xdr:rowOff>
    </xdr:from>
    <xdr:to>
      <xdr:col>13</xdr:col>
      <xdr:colOff>110520</xdr:colOff>
      <xdr:row>4</xdr:row>
      <xdr:rowOff>105120</xdr:rowOff>
    </xdr:to>
    <xdr:pic>
      <xdr:nvPicPr>
        <xdr:cNvPr id="16" name="Picture 1" descr=""/>
        <xdr:cNvPicPr/>
      </xdr:nvPicPr>
      <xdr:blipFill>
        <a:blip r:embed="rId2"/>
        <a:stretch/>
      </xdr:blipFill>
      <xdr:spPr>
        <a:xfrm>
          <a:off x="6162480" y="209520"/>
          <a:ext cx="2244240" cy="543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J1:AA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sheetData>
    <row r="1" customFormat="false" ht="12.75" hidden="false" customHeight="false" outlineLevel="0" collapsed="false">
      <c r="J1" s="1"/>
      <c r="K1" s="1"/>
      <c r="L1" s="1"/>
      <c r="M1" s="1"/>
      <c r="N1" s="1"/>
      <c r="O1" s="1"/>
      <c r="P1" s="1"/>
      <c r="Q1" s="1"/>
      <c r="R1" s="1"/>
      <c r="S1" s="1"/>
      <c r="T1" s="1"/>
      <c r="U1" s="1"/>
      <c r="V1" s="1"/>
      <c r="W1" s="1"/>
      <c r="X1" s="1"/>
      <c r="Y1" s="1"/>
      <c r="Z1" s="1"/>
      <c r="AA1" s="1"/>
    </row>
    <row r="2" customFormat="false" ht="12.75" hidden="false" customHeight="false" outlineLevel="0" collapsed="false">
      <c r="J2" s="1"/>
      <c r="K2" s="1"/>
      <c r="L2" s="1"/>
      <c r="M2" s="1"/>
      <c r="N2" s="1"/>
      <c r="O2" s="1"/>
      <c r="P2" s="1"/>
      <c r="Q2" s="1"/>
      <c r="R2" s="1"/>
      <c r="S2" s="1"/>
      <c r="T2" s="1"/>
      <c r="U2" s="1"/>
      <c r="V2" s="1"/>
      <c r="W2" s="1"/>
      <c r="X2" s="1"/>
      <c r="Y2" s="1"/>
      <c r="Z2" s="1"/>
      <c r="AA2" s="1"/>
    </row>
    <row r="3" customFormat="false" ht="12.75" hidden="false" customHeight="false" outlineLevel="0" collapsed="false">
      <c r="J3" s="1"/>
      <c r="K3" s="1"/>
      <c r="L3" s="1"/>
      <c r="M3" s="1"/>
      <c r="N3" s="1"/>
      <c r="O3" s="1"/>
      <c r="P3" s="1"/>
      <c r="Q3" s="1"/>
      <c r="R3" s="1"/>
      <c r="S3" s="1"/>
      <c r="T3" s="1"/>
      <c r="U3" s="1"/>
      <c r="V3" s="1"/>
      <c r="W3" s="1"/>
      <c r="X3" s="1"/>
      <c r="Y3" s="1"/>
      <c r="Z3" s="1"/>
      <c r="AA3" s="1"/>
    </row>
    <row r="4" customFormat="false" ht="12.75" hidden="false" customHeight="false" outlineLevel="0" collapsed="false">
      <c r="J4" s="1"/>
      <c r="K4" s="1"/>
      <c r="L4" s="1"/>
      <c r="M4" s="1"/>
      <c r="N4" s="1"/>
      <c r="O4" s="1"/>
      <c r="P4" s="1"/>
      <c r="Q4" s="1"/>
      <c r="R4" s="1"/>
      <c r="S4" s="1"/>
      <c r="T4" s="1"/>
      <c r="U4" s="1"/>
      <c r="V4" s="1"/>
      <c r="W4" s="1"/>
      <c r="X4" s="1"/>
      <c r="Y4" s="1"/>
      <c r="Z4" s="1"/>
      <c r="AA4" s="1"/>
    </row>
    <row r="5" customFormat="false" ht="12.75" hidden="false" customHeight="false" outlineLevel="0" collapsed="false">
      <c r="J5" s="1"/>
      <c r="K5" s="1"/>
      <c r="L5" s="1"/>
      <c r="M5" s="1"/>
      <c r="N5" s="1"/>
      <c r="O5" s="1"/>
      <c r="P5" s="1"/>
      <c r="Q5" s="1"/>
      <c r="R5" s="1"/>
      <c r="S5" s="1"/>
      <c r="T5" s="1"/>
      <c r="U5" s="1"/>
      <c r="V5" s="1"/>
      <c r="W5" s="1"/>
      <c r="X5" s="1"/>
      <c r="Y5" s="1"/>
      <c r="Z5" s="1"/>
      <c r="AA5" s="1"/>
    </row>
    <row r="6" customFormat="false" ht="12.75" hidden="false" customHeight="false" outlineLevel="0" collapsed="false">
      <c r="J6" s="1"/>
      <c r="K6" s="1"/>
      <c r="L6" s="1"/>
      <c r="M6" s="1"/>
      <c r="N6" s="1"/>
      <c r="O6" s="1"/>
      <c r="P6" s="1"/>
      <c r="Q6" s="1"/>
      <c r="R6" s="1"/>
      <c r="S6" s="1"/>
      <c r="T6" s="1"/>
      <c r="U6" s="1"/>
      <c r="V6" s="1"/>
      <c r="W6" s="1"/>
      <c r="X6" s="1"/>
      <c r="Y6" s="1"/>
      <c r="Z6" s="1"/>
      <c r="AA6" s="1"/>
    </row>
    <row r="7" customFormat="false" ht="12.75" hidden="false" customHeight="false" outlineLevel="0" collapsed="false">
      <c r="J7" s="1"/>
      <c r="K7" s="1"/>
      <c r="L7" s="1"/>
      <c r="M7" s="1"/>
      <c r="N7" s="1"/>
      <c r="O7" s="1"/>
      <c r="P7" s="1"/>
      <c r="Q7" s="1"/>
      <c r="R7" s="1"/>
      <c r="S7" s="1"/>
      <c r="T7" s="1"/>
      <c r="U7" s="1"/>
      <c r="V7" s="1"/>
      <c r="W7" s="1"/>
      <c r="X7" s="1"/>
      <c r="Y7" s="1"/>
      <c r="Z7" s="1"/>
      <c r="AA7" s="1"/>
    </row>
    <row r="8" customFormat="false" ht="12.75" hidden="false" customHeight="false" outlineLevel="0" collapsed="false">
      <c r="J8" s="1"/>
      <c r="K8" s="1"/>
      <c r="L8" s="1"/>
      <c r="M8" s="1"/>
      <c r="N8" s="1"/>
      <c r="O8" s="1"/>
      <c r="P8" s="1"/>
      <c r="Q8" s="1"/>
      <c r="R8" s="1"/>
      <c r="S8" s="1"/>
      <c r="T8" s="1"/>
      <c r="U8" s="1"/>
      <c r="V8" s="1"/>
      <c r="W8" s="1"/>
      <c r="X8" s="1"/>
      <c r="Y8" s="1"/>
      <c r="Z8" s="1"/>
      <c r="AA8" s="1"/>
    </row>
    <row r="9" customFormat="false" ht="12.75" hidden="false" customHeight="false" outlineLevel="0" collapsed="false">
      <c r="J9" s="1"/>
      <c r="K9" s="1"/>
      <c r="L9" s="1"/>
      <c r="M9" s="1"/>
      <c r="N9" s="1"/>
      <c r="O9" s="1"/>
      <c r="P9" s="1"/>
      <c r="Q9" s="1"/>
      <c r="R9" s="1"/>
      <c r="S9" s="1"/>
      <c r="T9" s="1"/>
      <c r="U9" s="1"/>
      <c r="V9" s="1"/>
      <c r="W9" s="1"/>
      <c r="X9" s="1"/>
      <c r="Y9" s="1"/>
      <c r="Z9" s="1"/>
      <c r="AA9" s="1"/>
    </row>
    <row r="10" customFormat="false" ht="12.75" hidden="false" customHeight="false" outlineLevel="0" collapsed="false">
      <c r="J10" s="1"/>
      <c r="K10" s="1"/>
      <c r="L10" s="1"/>
      <c r="M10" s="1"/>
      <c r="N10" s="1"/>
      <c r="O10" s="1"/>
      <c r="P10" s="1"/>
      <c r="Q10" s="1"/>
      <c r="R10" s="1"/>
      <c r="S10" s="1"/>
      <c r="T10" s="1"/>
      <c r="U10" s="1"/>
      <c r="V10" s="1"/>
      <c r="W10" s="1"/>
      <c r="X10" s="1"/>
      <c r="Y10" s="1"/>
      <c r="Z10" s="1"/>
      <c r="AA10" s="1"/>
    </row>
    <row r="11" customFormat="false" ht="12.75" hidden="false" customHeight="false" outlineLevel="0" collapsed="false">
      <c r="J11" s="1"/>
      <c r="K11" s="1"/>
      <c r="L11" s="1"/>
      <c r="M11" s="1"/>
      <c r="N11" s="1"/>
      <c r="O11" s="1"/>
      <c r="P11" s="1"/>
      <c r="Q11" s="1"/>
      <c r="R11" s="1"/>
      <c r="S11" s="1"/>
      <c r="T11" s="1"/>
      <c r="U11" s="1"/>
      <c r="V11" s="1"/>
      <c r="W11" s="1"/>
      <c r="X11" s="1"/>
      <c r="Y11" s="1"/>
      <c r="Z11" s="1"/>
      <c r="AA11" s="1"/>
    </row>
    <row r="12" customFormat="false" ht="12.75" hidden="false" customHeight="false" outlineLevel="0" collapsed="false">
      <c r="J12" s="1"/>
      <c r="K12" s="1"/>
      <c r="L12" s="1"/>
      <c r="M12" s="1"/>
      <c r="N12" s="1"/>
      <c r="O12" s="1"/>
      <c r="P12" s="1"/>
      <c r="Q12" s="1"/>
      <c r="R12" s="1"/>
      <c r="S12" s="1"/>
      <c r="T12" s="1"/>
      <c r="U12" s="1"/>
      <c r="V12" s="1"/>
      <c r="W12" s="1"/>
      <c r="X12" s="1"/>
      <c r="Y12" s="1"/>
      <c r="Z12" s="1"/>
      <c r="AA12" s="1"/>
    </row>
    <row r="13" customFormat="false" ht="12.75" hidden="false" customHeight="false" outlineLevel="0" collapsed="false">
      <c r="J13" s="1"/>
      <c r="K13" s="1"/>
      <c r="L13" s="1"/>
      <c r="M13" s="1"/>
      <c r="N13" s="1"/>
      <c r="O13" s="1"/>
      <c r="P13" s="1"/>
      <c r="Q13" s="1"/>
      <c r="R13" s="1"/>
      <c r="S13" s="1"/>
      <c r="T13" s="1"/>
      <c r="U13" s="1"/>
      <c r="V13" s="1"/>
      <c r="W13" s="1"/>
      <c r="X13" s="1"/>
      <c r="Y13" s="1"/>
      <c r="Z13" s="1"/>
      <c r="AA13" s="1"/>
    </row>
    <row r="14" customFormat="false" ht="12.75" hidden="false" customHeight="false" outlineLevel="0" collapsed="false">
      <c r="J14" s="1"/>
      <c r="K14" s="1"/>
      <c r="L14" s="1"/>
      <c r="M14" s="1"/>
      <c r="N14" s="1"/>
      <c r="O14" s="1"/>
      <c r="P14" s="1"/>
      <c r="Q14" s="1"/>
      <c r="R14" s="1"/>
      <c r="S14" s="1"/>
      <c r="T14" s="1"/>
      <c r="U14" s="1"/>
      <c r="V14" s="1"/>
      <c r="W14" s="1"/>
      <c r="X14" s="1"/>
      <c r="Y14" s="1"/>
      <c r="Z14" s="1"/>
      <c r="AA14" s="1"/>
    </row>
    <row r="15" customFormat="false" ht="12.75" hidden="false" customHeight="false" outlineLevel="0" collapsed="false">
      <c r="J15" s="1"/>
      <c r="K15" s="1"/>
      <c r="L15" s="1"/>
      <c r="M15" s="1"/>
      <c r="N15" s="1"/>
      <c r="O15" s="1"/>
      <c r="P15" s="1"/>
      <c r="Q15" s="1"/>
      <c r="R15" s="1"/>
      <c r="S15" s="1"/>
      <c r="T15" s="1"/>
      <c r="U15" s="1"/>
      <c r="V15" s="1"/>
      <c r="W15" s="1"/>
      <c r="X15" s="1"/>
      <c r="Y15" s="1"/>
      <c r="Z15" s="1"/>
      <c r="AA15" s="1"/>
    </row>
    <row r="16" customFormat="false" ht="12.75" hidden="false" customHeight="false" outlineLevel="0" collapsed="false">
      <c r="J16" s="1"/>
      <c r="K16" s="1"/>
      <c r="L16" s="1"/>
      <c r="M16" s="1"/>
      <c r="N16" s="1"/>
      <c r="O16" s="1"/>
      <c r="P16" s="1"/>
      <c r="Q16" s="1"/>
      <c r="R16" s="1"/>
      <c r="S16" s="1"/>
      <c r="T16" s="1"/>
      <c r="U16" s="1"/>
      <c r="V16" s="1"/>
      <c r="W16" s="1"/>
      <c r="X16" s="1"/>
      <c r="Y16" s="1"/>
      <c r="Z16" s="1"/>
      <c r="AA16" s="1"/>
    </row>
    <row r="17" customFormat="false" ht="12.75" hidden="false" customHeight="false" outlineLevel="0" collapsed="false">
      <c r="J17" s="1"/>
      <c r="K17" s="1"/>
      <c r="L17" s="1"/>
      <c r="M17" s="1"/>
      <c r="N17" s="1"/>
      <c r="O17" s="1"/>
      <c r="P17" s="1"/>
      <c r="Q17" s="1"/>
      <c r="R17" s="1"/>
      <c r="S17" s="1"/>
      <c r="T17" s="1"/>
      <c r="U17" s="1"/>
      <c r="V17" s="1"/>
      <c r="W17" s="1"/>
      <c r="X17" s="1"/>
      <c r="Y17" s="1"/>
      <c r="Z17" s="1"/>
      <c r="AA17" s="1"/>
    </row>
    <row r="18" customFormat="false" ht="12.75" hidden="false" customHeight="false" outlineLevel="0" collapsed="false">
      <c r="J18" s="1"/>
      <c r="K18" s="1"/>
      <c r="L18" s="1"/>
      <c r="M18" s="1"/>
      <c r="N18" s="1"/>
      <c r="O18" s="1"/>
      <c r="P18" s="1"/>
      <c r="Q18" s="1"/>
      <c r="R18" s="1"/>
      <c r="S18" s="1"/>
      <c r="T18" s="1"/>
      <c r="U18" s="1"/>
      <c r="V18" s="1"/>
      <c r="W18" s="1"/>
      <c r="X18" s="1"/>
      <c r="Y18" s="1"/>
      <c r="Z18" s="1"/>
      <c r="AA18" s="1"/>
    </row>
    <row r="19" customFormat="false" ht="12.75" hidden="false" customHeight="false" outlineLevel="0" collapsed="false">
      <c r="J19" s="1"/>
      <c r="K19" s="1"/>
      <c r="L19" s="1"/>
      <c r="M19" s="1"/>
      <c r="N19" s="1"/>
      <c r="O19" s="1"/>
      <c r="P19" s="1"/>
      <c r="Q19" s="1"/>
      <c r="R19" s="1"/>
      <c r="S19" s="1"/>
      <c r="T19" s="1"/>
      <c r="U19" s="1"/>
      <c r="V19" s="1"/>
      <c r="W19" s="1"/>
      <c r="X19" s="1"/>
      <c r="Y19" s="1"/>
      <c r="Z19" s="1"/>
      <c r="AA19" s="1"/>
    </row>
    <row r="20" customFormat="false" ht="12.75" hidden="false" customHeight="false" outlineLevel="0" collapsed="false">
      <c r="J20" s="1"/>
      <c r="K20" s="1"/>
      <c r="L20" s="1"/>
      <c r="M20" s="1"/>
      <c r="N20" s="1"/>
      <c r="O20" s="1"/>
      <c r="P20" s="1"/>
      <c r="Q20" s="1"/>
      <c r="R20" s="1"/>
      <c r="S20" s="1"/>
      <c r="T20" s="1"/>
      <c r="U20" s="1"/>
      <c r="V20" s="1"/>
      <c r="W20" s="1"/>
      <c r="X20" s="1"/>
      <c r="Y20" s="1"/>
      <c r="Z20" s="1"/>
      <c r="AA20" s="1"/>
    </row>
    <row r="21" customFormat="false" ht="12.75" hidden="false" customHeight="false" outlineLevel="0" collapsed="false">
      <c r="J21" s="1"/>
      <c r="K21" s="1"/>
      <c r="L21" s="1"/>
      <c r="M21" s="1"/>
      <c r="N21" s="1"/>
      <c r="O21" s="1"/>
      <c r="P21" s="1"/>
      <c r="Q21" s="1"/>
      <c r="R21" s="1"/>
      <c r="S21" s="1"/>
      <c r="T21" s="1"/>
      <c r="U21" s="1"/>
      <c r="V21" s="1"/>
      <c r="W21" s="1"/>
      <c r="X21" s="1"/>
      <c r="Y21" s="1"/>
      <c r="Z21" s="1"/>
      <c r="AA21" s="1"/>
    </row>
    <row r="22" customFormat="false" ht="12.75" hidden="false" customHeight="false" outlineLevel="0" collapsed="false">
      <c r="J22" s="1"/>
      <c r="K22" s="1"/>
      <c r="L22" s="1"/>
      <c r="M22" s="1"/>
      <c r="N22" s="1"/>
      <c r="O22" s="1"/>
      <c r="P22" s="1"/>
      <c r="Q22" s="1"/>
      <c r="R22" s="1"/>
      <c r="S22" s="1"/>
      <c r="T22" s="1"/>
      <c r="U22" s="1"/>
      <c r="V22" s="1"/>
      <c r="W22" s="1"/>
      <c r="X22" s="1"/>
      <c r="Y22" s="1"/>
      <c r="Z22" s="1"/>
      <c r="AA22" s="1"/>
    </row>
    <row r="23" customFormat="false" ht="12.75" hidden="false" customHeight="false" outlineLevel="0" collapsed="false">
      <c r="J23" s="1"/>
      <c r="K23" s="1"/>
      <c r="L23" s="1"/>
      <c r="M23" s="1"/>
      <c r="N23" s="1"/>
      <c r="O23" s="1"/>
      <c r="P23" s="1"/>
      <c r="Q23" s="1"/>
      <c r="R23" s="1"/>
      <c r="S23" s="1"/>
      <c r="T23" s="1"/>
      <c r="U23" s="1"/>
      <c r="V23" s="1"/>
      <c r="W23" s="1"/>
      <c r="X23" s="1"/>
      <c r="Y23" s="1"/>
      <c r="Z23" s="1"/>
      <c r="AA23" s="1"/>
    </row>
    <row r="24" customFormat="false" ht="12.75" hidden="false" customHeight="false" outlineLevel="0" collapsed="false">
      <c r="J24" s="1"/>
      <c r="K24" s="1"/>
      <c r="L24" s="1"/>
      <c r="M24" s="1"/>
      <c r="N24" s="1"/>
      <c r="O24" s="1"/>
      <c r="P24" s="1"/>
      <c r="Q24" s="1"/>
      <c r="R24" s="1"/>
      <c r="S24" s="1"/>
      <c r="T24" s="1"/>
      <c r="U24" s="1"/>
      <c r="V24" s="1"/>
      <c r="W24" s="1"/>
      <c r="X24" s="1"/>
      <c r="Y24" s="1"/>
      <c r="Z24" s="1"/>
      <c r="AA24" s="1"/>
    </row>
    <row r="25" customFormat="false" ht="12.75" hidden="false" customHeight="false" outlineLevel="0" collapsed="false">
      <c r="J25" s="1"/>
      <c r="K25" s="1"/>
      <c r="L25" s="1"/>
      <c r="M25" s="1"/>
      <c r="N25" s="1"/>
      <c r="O25" s="1"/>
      <c r="P25" s="1"/>
      <c r="Q25" s="1"/>
      <c r="R25" s="1"/>
      <c r="S25" s="1"/>
      <c r="T25" s="1"/>
      <c r="U25" s="1"/>
      <c r="V25" s="1"/>
      <c r="W25" s="1"/>
      <c r="X25" s="1"/>
      <c r="Y25" s="1"/>
      <c r="Z25" s="1"/>
      <c r="AA25" s="1"/>
    </row>
    <row r="26" customFormat="false" ht="12.75" hidden="false" customHeight="false" outlineLevel="0" collapsed="false">
      <c r="J26" s="1"/>
      <c r="K26" s="1"/>
      <c r="L26" s="1"/>
      <c r="M26" s="1"/>
      <c r="N26" s="1"/>
      <c r="O26" s="1"/>
      <c r="P26" s="1"/>
      <c r="Q26" s="1"/>
      <c r="R26" s="1"/>
      <c r="S26" s="1"/>
      <c r="T26" s="1"/>
      <c r="U26" s="1"/>
      <c r="V26" s="1"/>
      <c r="W26" s="1"/>
      <c r="X26" s="1"/>
      <c r="Y26" s="1"/>
      <c r="Z26" s="1"/>
      <c r="AA26" s="1"/>
    </row>
    <row r="27" customFormat="false" ht="12.75" hidden="false" customHeight="false" outlineLevel="0" collapsed="false">
      <c r="J27" s="1"/>
      <c r="K27" s="1"/>
      <c r="L27" s="1"/>
      <c r="M27" s="1"/>
      <c r="N27" s="1"/>
      <c r="O27" s="1"/>
      <c r="P27" s="1"/>
      <c r="Q27" s="1"/>
      <c r="R27" s="1"/>
      <c r="S27" s="1"/>
      <c r="T27" s="1"/>
      <c r="U27" s="1"/>
      <c r="V27" s="1"/>
      <c r="W27" s="1"/>
      <c r="X27" s="1"/>
      <c r="Y27" s="1"/>
      <c r="Z27" s="1"/>
      <c r="AA27" s="1"/>
    </row>
    <row r="28" customFormat="false" ht="12.75" hidden="false" customHeight="false" outlineLevel="0" collapsed="false">
      <c r="J28" s="1"/>
      <c r="K28" s="1"/>
      <c r="L28" s="1"/>
      <c r="M28" s="1"/>
      <c r="N28" s="1"/>
      <c r="O28" s="1"/>
      <c r="P28" s="1"/>
      <c r="Q28" s="1"/>
      <c r="R28" s="1"/>
      <c r="S28" s="1"/>
      <c r="T28" s="1"/>
      <c r="U28" s="1"/>
      <c r="V28" s="1"/>
      <c r="W28" s="1"/>
      <c r="X28" s="1"/>
      <c r="Y28" s="1"/>
      <c r="Z28" s="1"/>
      <c r="AA28" s="1"/>
    </row>
    <row r="29" customFormat="false" ht="12.75" hidden="false" customHeight="false" outlineLevel="0" collapsed="false">
      <c r="J29" s="1"/>
      <c r="K29" s="1"/>
      <c r="L29" s="1"/>
      <c r="M29" s="1"/>
      <c r="N29" s="1"/>
      <c r="O29" s="1"/>
      <c r="P29" s="1"/>
      <c r="Q29" s="1"/>
      <c r="R29" s="1"/>
      <c r="S29" s="1"/>
      <c r="T29" s="1"/>
      <c r="U29" s="1"/>
      <c r="V29" s="1"/>
      <c r="W29" s="1"/>
      <c r="X29" s="1"/>
      <c r="Y29" s="1"/>
      <c r="Z29" s="1"/>
      <c r="AA29" s="1"/>
    </row>
    <row r="30" customFormat="false" ht="12.75" hidden="false" customHeight="false" outlineLevel="0" collapsed="false">
      <c r="J30" s="1"/>
      <c r="K30" s="1"/>
      <c r="L30" s="1"/>
      <c r="M30" s="1"/>
      <c r="N30" s="1"/>
      <c r="O30" s="1"/>
      <c r="P30" s="1"/>
      <c r="Q30" s="1"/>
      <c r="R30" s="1"/>
      <c r="S30" s="1"/>
      <c r="T30" s="1"/>
      <c r="U30" s="1"/>
      <c r="V30" s="1"/>
      <c r="W30" s="1"/>
      <c r="X30" s="1"/>
      <c r="Y30" s="1"/>
      <c r="Z30" s="1"/>
      <c r="AA30" s="1"/>
    </row>
    <row r="31" customFormat="false" ht="12.75" hidden="false" customHeight="false" outlineLevel="0" collapsed="false">
      <c r="J31" s="1"/>
      <c r="K31" s="1"/>
      <c r="L31" s="1"/>
      <c r="M31" s="1"/>
      <c r="N31" s="1"/>
      <c r="O31" s="1"/>
      <c r="P31" s="1"/>
      <c r="Q31" s="1"/>
      <c r="R31" s="1"/>
      <c r="S31" s="1"/>
      <c r="T31" s="1"/>
      <c r="U31" s="1"/>
      <c r="V31" s="1"/>
      <c r="W31" s="1"/>
      <c r="X31" s="1"/>
      <c r="Y31" s="1"/>
      <c r="Z31" s="1"/>
      <c r="AA31" s="1"/>
    </row>
    <row r="32" customFormat="false" ht="12.75" hidden="false" customHeight="false" outlineLevel="0" collapsed="false">
      <c r="J32" s="1"/>
      <c r="K32" s="1"/>
      <c r="L32" s="1"/>
      <c r="M32" s="1"/>
      <c r="N32" s="1"/>
      <c r="O32" s="1"/>
      <c r="P32" s="1"/>
      <c r="Q32" s="1"/>
      <c r="R32" s="1"/>
      <c r="S32" s="1"/>
      <c r="T32" s="1"/>
      <c r="U32" s="1"/>
      <c r="V32" s="1"/>
      <c r="W32" s="1"/>
      <c r="X32" s="1"/>
      <c r="Y32" s="1"/>
      <c r="Z32" s="1"/>
      <c r="AA32" s="1"/>
    </row>
    <row r="33" customFormat="false" ht="12.75" hidden="false" customHeight="false" outlineLevel="0" collapsed="false">
      <c r="J33" s="1"/>
      <c r="K33" s="1"/>
      <c r="L33" s="1"/>
      <c r="M33" s="1"/>
      <c r="N33" s="1"/>
      <c r="O33" s="1"/>
      <c r="P33" s="1"/>
      <c r="Q33" s="1"/>
      <c r="R33" s="1"/>
      <c r="S33" s="1"/>
      <c r="T33" s="1"/>
      <c r="U33" s="1"/>
      <c r="V33" s="1"/>
      <c r="W33" s="1"/>
      <c r="X33" s="1"/>
      <c r="Y33" s="1"/>
      <c r="Z33" s="1"/>
      <c r="AA33" s="1"/>
    </row>
    <row r="34" customFormat="false" ht="12.75" hidden="false" customHeight="false" outlineLevel="0" collapsed="false">
      <c r="J34" s="1"/>
      <c r="K34" s="1"/>
      <c r="L34" s="1"/>
      <c r="M34" s="1"/>
      <c r="N34" s="1"/>
      <c r="O34" s="1"/>
      <c r="P34" s="1"/>
      <c r="Q34" s="1"/>
      <c r="R34" s="1"/>
      <c r="S34" s="1"/>
      <c r="T34" s="1"/>
      <c r="U34" s="1"/>
      <c r="V34" s="1"/>
      <c r="W34" s="1"/>
      <c r="X34" s="1"/>
      <c r="Y34" s="1"/>
      <c r="Z34" s="1"/>
      <c r="AA34" s="1"/>
    </row>
    <row r="35" customFormat="false" ht="12.75" hidden="false" customHeight="false" outlineLevel="0" collapsed="false">
      <c r="J35" s="1"/>
      <c r="K35" s="1"/>
      <c r="L35" s="1"/>
      <c r="M35" s="1"/>
      <c r="N35" s="1"/>
      <c r="O35" s="1"/>
      <c r="P35" s="1"/>
      <c r="Q35" s="1"/>
      <c r="R35" s="1"/>
      <c r="S35" s="1"/>
      <c r="T35" s="1"/>
      <c r="U35" s="1"/>
      <c r="V35" s="1"/>
      <c r="W35" s="1"/>
      <c r="X35" s="1"/>
      <c r="Y35" s="1"/>
      <c r="Z35" s="1"/>
      <c r="AA35" s="1"/>
    </row>
    <row r="36" customFormat="false" ht="12.75" hidden="false" customHeight="false" outlineLevel="0" collapsed="false">
      <c r="J36" s="1"/>
      <c r="K36" s="1"/>
      <c r="L36" s="1"/>
      <c r="M36" s="1"/>
      <c r="N36" s="1"/>
      <c r="O36" s="1"/>
      <c r="P36" s="1"/>
      <c r="Q36" s="1"/>
      <c r="R36" s="1"/>
      <c r="S36" s="1"/>
      <c r="T36" s="1"/>
      <c r="U36" s="1"/>
      <c r="V36" s="1"/>
      <c r="W36" s="1"/>
      <c r="X36" s="1"/>
      <c r="Y36" s="1"/>
      <c r="Z36" s="1"/>
      <c r="AA36" s="1"/>
    </row>
    <row r="37" customFormat="false" ht="12.75" hidden="false" customHeight="false" outlineLevel="0" collapsed="false">
      <c r="J37" s="1"/>
      <c r="K37" s="1"/>
      <c r="L37" s="1"/>
      <c r="M37" s="1"/>
      <c r="N37" s="1"/>
      <c r="O37" s="1"/>
      <c r="P37" s="1"/>
      <c r="Q37" s="1"/>
      <c r="R37" s="1"/>
      <c r="S37" s="1"/>
      <c r="T37" s="1"/>
      <c r="U37" s="1"/>
      <c r="V37" s="1"/>
      <c r="W37" s="1"/>
      <c r="X37" s="1"/>
      <c r="Y37" s="1"/>
      <c r="Z37" s="1"/>
      <c r="AA37" s="1"/>
    </row>
    <row r="38" customFormat="false" ht="12.75" hidden="false" customHeight="false" outlineLevel="0" collapsed="false">
      <c r="J38" s="1"/>
      <c r="K38" s="1"/>
      <c r="L38" s="1"/>
      <c r="M38" s="1"/>
      <c r="N38" s="1"/>
      <c r="O38" s="1"/>
      <c r="P38" s="1"/>
      <c r="Q38" s="1"/>
      <c r="R38" s="1"/>
      <c r="S38" s="1"/>
      <c r="T38" s="1"/>
      <c r="U38" s="1"/>
      <c r="V38" s="1"/>
      <c r="W38" s="1"/>
      <c r="X38" s="1"/>
      <c r="Y38" s="1"/>
      <c r="Z38" s="1"/>
      <c r="AA38" s="1"/>
    </row>
    <row r="39" customFormat="false" ht="12.75" hidden="false" customHeight="false" outlineLevel="0" collapsed="false">
      <c r="J39" s="1"/>
      <c r="K39" s="1"/>
      <c r="L39" s="1"/>
      <c r="M39" s="1"/>
      <c r="N39" s="1"/>
      <c r="O39" s="1"/>
      <c r="P39" s="1"/>
      <c r="Q39" s="1"/>
      <c r="R39" s="1"/>
      <c r="S39" s="1"/>
      <c r="T39" s="1"/>
      <c r="U39" s="1"/>
      <c r="V39" s="1"/>
      <c r="W39" s="1"/>
      <c r="X39" s="1"/>
      <c r="Y39" s="1"/>
      <c r="Z39" s="1"/>
      <c r="AA39" s="1"/>
    </row>
    <row r="40" customFormat="false" ht="12.75" hidden="false" customHeight="false" outlineLevel="0" collapsed="false">
      <c r="J40" s="1"/>
      <c r="K40" s="1"/>
      <c r="L40" s="1"/>
      <c r="M40" s="1"/>
      <c r="N40" s="1"/>
      <c r="O40" s="1"/>
      <c r="P40" s="1"/>
      <c r="Q40" s="1"/>
      <c r="R40" s="1"/>
      <c r="S40" s="1"/>
      <c r="T40" s="1"/>
      <c r="U40" s="1"/>
      <c r="V40" s="1"/>
      <c r="W40" s="1"/>
      <c r="X40" s="1"/>
      <c r="Y40" s="1"/>
      <c r="Z40" s="1"/>
      <c r="AA40" s="1"/>
    </row>
    <row r="41" customFormat="false" ht="12.75" hidden="false" customHeight="false" outlineLevel="0" collapsed="false">
      <c r="J41" s="1"/>
      <c r="K41" s="1"/>
      <c r="L41" s="1"/>
      <c r="M41" s="1"/>
      <c r="N41" s="1"/>
      <c r="O41" s="1"/>
      <c r="P41" s="1"/>
      <c r="Q41" s="1"/>
      <c r="R41" s="1"/>
      <c r="S41" s="1"/>
      <c r="T41" s="1"/>
      <c r="U41" s="1"/>
      <c r="V41" s="1"/>
      <c r="W41" s="1"/>
      <c r="X41" s="1"/>
      <c r="Y41" s="1"/>
      <c r="Z41" s="1"/>
      <c r="AA41" s="1"/>
    </row>
    <row r="42" customFormat="false" ht="12.75" hidden="false" customHeight="false" outlineLevel="0" collapsed="false">
      <c r="J42" s="1"/>
      <c r="K42" s="1"/>
      <c r="L42" s="1"/>
      <c r="M42" s="1"/>
      <c r="N42" s="1"/>
      <c r="O42" s="1"/>
      <c r="P42" s="1"/>
      <c r="Q42" s="1"/>
      <c r="R42" s="1"/>
      <c r="S42" s="1"/>
      <c r="T42" s="1"/>
      <c r="U42" s="1"/>
      <c r="V42" s="1"/>
      <c r="W42" s="1"/>
      <c r="X42" s="1"/>
      <c r="Y42" s="1"/>
      <c r="Z42" s="1"/>
      <c r="AA42" s="1"/>
    </row>
    <row r="43" customFormat="false" ht="12.75" hidden="false" customHeight="false" outlineLevel="0" collapsed="false">
      <c r="J43" s="1"/>
      <c r="K43" s="1"/>
      <c r="L43" s="1"/>
      <c r="M43" s="1"/>
      <c r="N43" s="1"/>
      <c r="O43" s="1"/>
      <c r="P43" s="1"/>
      <c r="Q43" s="1"/>
      <c r="R43" s="1"/>
      <c r="S43" s="1"/>
      <c r="T43" s="1"/>
      <c r="U43" s="1"/>
      <c r="V43" s="1"/>
      <c r="W43" s="1"/>
      <c r="X43" s="1"/>
      <c r="Y43" s="1"/>
      <c r="Z43" s="1"/>
      <c r="AA43" s="1"/>
    </row>
    <row r="44" customFormat="false" ht="12.75" hidden="false" customHeight="false" outlineLevel="0" collapsed="false">
      <c r="J44" s="1"/>
      <c r="K44" s="1"/>
      <c r="L44" s="1"/>
      <c r="M44" s="1"/>
      <c r="N44" s="1"/>
      <c r="O44" s="1"/>
      <c r="P44" s="1"/>
      <c r="Q44" s="1"/>
      <c r="R44" s="1"/>
      <c r="S44" s="1"/>
      <c r="T44" s="1"/>
      <c r="U44" s="1"/>
      <c r="V44" s="1"/>
      <c r="W44" s="1"/>
      <c r="X44" s="1"/>
      <c r="Y44" s="1"/>
      <c r="Z44" s="1"/>
      <c r="AA44" s="1"/>
    </row>
    <row r="45" customFormat="false" ht="12.75" hidden="false" customHeight="false" outlineLevel="0" collapsed="false">
      <c r="J45" s="1"/>
      <c r="K45" s="1"/>
      <c r="L45" s="1"/>
      <c r="M45" s="1"/>
      <c r="N45" s="1"/>
      <c r="O45" s="1"/>
      <c r="P45" s="1"/>
      <c r="Q45" s="1"/>
      <c r="R45" s="1"/>
      <c r="S45" s="1"/>
      <c r="T45" s="1"/>
      <c r="U45" s="1"/>
      <c r="V45" s="1"/>
      <c r="W45" s="1"/>
      <c r="X45" s="1"/>
      <c r="Y45" s="1"/>
      <c r="Z45" s="1"/>
      <c r="AA45" s="1"/>
    </row>
    <row r="46" customFormat="false" ht="12.75" hidden="false" customHeight="false" outlineLevel="0" collapsed="false">
      <c r="J46" s="1"/>
      <c r="K46" s="1"/>
      <c r="L46" s="1"/>
      <c r="M46" s="1"/>
      <c r="N46" s="1"/>
      <c r="O46" s="1"/>
      <c r="P46" s="1"/>
      <c r="Q46" s="1"/>
      <c r="R46" s="1"/>
      <c r="S46" s="1"/>
      <c r="T46" s="1"/>
      <c r="U46" s="1"/>
      <c r="V46" s="1"/>
      <c r="W46" s="1"/>
      <c r="X46" s="1"/>
      <c r="Y46" s="1"/>
      <c r="Z46" s="1"/>
      <c r="AA46" s="1"/>
    </row>
    <row r="47" customFormat="false" ht="12.75" hidden="false" customHeight="false" outlineLevel="0" collapsed="false">
      <c r="J47" s="1"/>
      <c r="K47" s="1"/>
      <c r="L47" s="1"/>
      <c r="M47" s="1"/>
      <c r="N47" s="1"/>
      <c r="O47" s="1"/>
      <c r="P47" s="1"/>
      <c r="Q47" s="1"/>
      <c r="R47" s="1"/>
      <c r="S47" s="1"/>
      <c r="T47" s="1"/>
      <c r="U47" s="1"/>
      <c r="V47" s="1"/>
      <c r="W47" s="1"/>
      <c r="X47" s="1"/>
      <c r="Y47" s="1"/>
      <c r="Z47" s="1"/>
      <c r="AA47" s="1"/>
    </row>
    <row r="48" customFormat="false" ht="12.75" hidden="false" customHeight="false" outlineLevel="0" collapsed="false">
      <c r="J48" s="1"/>
      <c r="K48" s="1"/>
      <c r="L48" s="1"/>
      <c r="M48" s="1"/>
      <c r="N48" s="1"/>
      <c r="O48" s="1"/>
      <c r="P48" s="1"/>
      <c r="Q48" s="1"/>
      <c r="R48" s="1"/>
      <c r="S48" s="1"/>
      <c r="T48" s="1"/>
      <c r="U48" s="1"/>
      <c r="V48" s="1"/>
      <c r="W48" s="1"/>
      <c r="X48" s="1"/>
      <c r="Y48" s="1"/>
      <c r="Z48" s="1"/>
      <c r="AA48" s="1"/>
    </row>
    <row r="49" customFormat="false" ht="12.75" hidden="false" customHeight="false" outlineLevel="0" collapsed="false">
      <c r="J49" s="1"/>
      <c r="K49" s="1"/>
      <c r="L49" s="1"/>
      <c r="M49" s="1"/>
      <c r="N49" s="1"/>
      <c r="O49" s="1"/>
      <c r="P49" s="1"/>
      <c r="Q49" s="1"/>
      <c r="R49" s="1"/>
      <c r="S49" s="1"/>
      <c r="T49" s="1"/>
      <c r="U49" s="1"/>
      <c r="V49" s="1"/>
      <c r="W49" s="1"/>
      <c r="X49" s="1"/>
      <c r="Y49" s="1"/>
      <c r="Z49" s="1"/>
      <c r="AA49" s="1"/>
    </row>
  </sheetData>
  <printOptions headings="false" gridLines="false" gridLinesSet="true" horizontalCentered="false" verticalCentered="false"/>
  <pageMargins left="0.708333333333333" right="0.708333333333333"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9.0546875" defaultRowHeight="12.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8:M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P1" activeCellId="0" sqref="P1"/>
    </sheetView>
  </sheetViews>
  <sheetFormatPr defaultColWidth="9.0546875" defaultRowHeight="12.75" zeroHeight="false" outlineLevelRow="0" outlineLevelCol="0"/>
  <sheetData>
    <row r="38" customFormat="false" ht="14.25" hidden="false" customHeight="true" outlineLevel="0" collapsed="false">
      <c r="B38" s="2"/>
      <c r="C38" s="2"/>
      <c r="D38" s="2"/>
      <c r="E38" s="2"/>
      <c r="F38" s="2"/>
      <c r="G38" s="2"/>
      <c r="H38" s="2"/>
      <c r="I38" s="2"/>
      <c r="J38" s="2"/>
      <c r="K38" s="2"/>
      <c r="L38" s="2"/>
      <c r="M38" s="2"/>
    </row>
    <row r="39" customFormat="false" ht="409.5" hidden="false" customHeight="true" outlineLevel="0" collapsed="false"/>
  </sheetData>
  <printOptions headings="false" gridLines="false" gridLinesSet="true" horizontalCentered="false" verticalCentered="false"/>
  <pageMargins left="0.25" right="0.25"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9" activeCellId="0" sqref="H19"/>
    </sheetView>
  </sheetViews>
  <sheetFormatPr defaultColWidth="9.0546875" defaultRowHeight="12.75" zeroHeight="false" outlineLevelRow="0" outlineLevelCol="0"/>
  <sheetData>
    <row r="1" customFormat="false" ht="12.75" hidden="false" customHeight="false" outlineLevel="0" collapsed="false">
      <c r="A1" s="3" t="s">
        <v>0</v>
      </c>
      <c r="B1" s="3" t="s">
        <v>1</v>
      </c>
      <c r="C1" s="3"/>
      <c r="D1" s="4" t="s">
        <v>2</v>
      </c>
      <c r="E1" s="4" t="s">
        <v>3</v>
      </c>
      <c r="I1" s="5" t="s">
        <v>4</v>
      </c>
      <c r="J1" s="5" t="s">
        <v>5</v>
      </c>
    </row>
    <row r="2" customFormat="false" ht="12.75" hidden="false" customHeight="false" outlineLevel="0" collapsed="false">
      <c r="A2" s="6" t="n">
        <v>0</v>
      </c>
      <c r="B2" s="6" t="n">
        <v>0</v>
      </c>
      <c r="C2" s="7" t="n">
        <f aca="false">A2/24</f>
        <v>0</v>
      </c>
      <c r="D2" s="4" t="n">
        <f aca="false">IF(AND('Treatment threshold graphs'!$M$6&gt;=22,'Treatment threshold graphs'!$M$6&lt;=37),40,'Data sheet'!I2)</f>
        <v>100</v>
      </c>
      <c r="E2" s="4" t="n">
        <f aca="false">IF(AND('Treatment threshold graphs'!$M$6&gt;=22,'Treatment threshold graphs'!$M$6&lt;=37),80,'Data sheet'!J2)</f>
        <v>100</v>
      </c>
      <c r="I2" s="5" t="n">
        <v>100</v>
      </c>
      <c r="J2" s="5" t="n">
        <v>100</v>
      </c>
    </row>
    <row r="3" customFormat="false" ht="12.75" hidden="false" customHeight="false" outlineLevel="0" collapsed="false">
      <c r="A3" s="6" t="n">
        <v>6</v>
      </c>
      <c r="B3" s="6"/>
      <c r="C3" s="7" t="n">
        <f aca="false">A3/24</f>
        <v>0.25</v>
      </c>
      <c r="D3" s="4" t="n">
        <f aca="false">IF(AND('Treatment threshold graphs'!$M$6&gt;=22,'Treatment threshold graphs'!$M$6&lt;=37),D2+(($D$15-$D$2)/12),'Data sheet'!I3)</f>
        <v>125</v>
      </c>
      <c r="E3" s="4" t="n">
        <f aca="false">IF(AND('Treatment threshold graphs'!$M$6&gt;=22,'Treatment threshold graphs'!$M$6&lt;=37),E2+(($E$14-$E$2)/12),'Data sheet'!J3)</f>
        <v>150</v>
      </c>
      <c r="I3" s="5" t="n">
        <v>125</v>
      </c>
      <c r="J3" s="5" t="n">
        <v>150</v>
      </c>
    </row>
    <row r="4" customFormat="false" ht="12.75" hidden="false" customHeight="false" outlineLevel="0" collapsed="false">
      <c r="A4" s="6" t="n">
        <v>12</v>
      </c>
      <c r="B4" s="6"/>
      <c r="C4" s="7" t="n">
        <f aca="false">A4/24</f>
        <v>0.5</v>
      </c>
      <c r="D4" s="4" t="n">
        <f aca="false">IF(AND('Treatment threshold graphs'!$M$6&gt;=22,'Treatment threshold graphs'!$M$6&lt;=37),D3+(($D$15-$D$2)/12),'Data sheet'!I4)</f>
        <v>150</v>
      </c>
      <c r="E4" s="4" t="n">
        <f aca="false">IF(AND('Treatment threshold graphs'!$M$6&gt;=22,'Treatment threshold graphs'!$M$6&lt;=37),E3+(($E$14-$E$2)/12),'Data sheet'!J4)</f>
        <v>200</v>
      </c>
      <c r="I4" s="5" t="n">
        <v>150</v>
      </c>
      <c r="J4" s="5" t="n">
        <v>200</v>
      </c>
    </row>
    <row r="5" customFormat="false" ht="12.75" hidden="false" customHeight="false" outlineLevel="0" collapsed="false">
      <c r="A5" s="6" t="n">
        <v>18</v>
      </c>
      <c r="B5" s="6"/>
      <c r="C5" s="7" t="n">
        <f aca="false">A5/24</f>
        <v>0.75</v>
      </c>
      <c r="D5" s="4" t="n">
        <f aca="false">IF(AND('Treatment threshold graphs'!$M$6&gt;=22,'Treatment threshold graphs'!$M$6&lt;=37),D4+(($D$15-$D$2)/12),'Data sheet'!I5)</f>
        <v>175</v>
      </c>
      <c r="E5" s="4" t="n">
        <f aca="false">IF(AND('Treatment threshold graphs'!$M$6&gt;=22,'Treatment threshold graphs'!$M$6&lt;=37),E4+(($E$14-$E$2)/12),'Data sheet'!J5)</f>
        <v>250</v>
      </c>
      <c r="I5" s="5" t="n">
        <v>175</v>
      </c>
      <c r="J5" s="5" t="n">
        <v>250</v>
      </c>
    </row>
    <row r="6" customFormat="false" ht="12.75" hidden="false" customHeight="false" outlineLevel="0" collapsed="false">
      <c r="A6" s="6" t="n">
        <v>24</v>
      </c>
      <c r="B6" s="6" t="n">
        <v>1</v>
      </c>
      <c r="C6" s="7" t="n">
        <f aca="false">A6/24</f>
        <v>1</v>
      </c>
      <c r="D6" s="4" t="n">
        <f aca="false">IF(AND('Treatment threshold graphs'!$M$6&gt;=22,'Treatment threshold graphs'!$M$6&lt;=37),D5+(($D$15-$D$2)/12),'Data sheet'!I6)</f>
        <v>200</v>
      </c>
      <c r="E6" s="4" t="n">
        <f aca="false">IF(AND('Treatment threshold graphs'!$M$6&gt;=22,'Treatment threshold graphs'!$M$6&lt;=37),E5+(($E$14-$E$2)/12),'Data sheet'!J6)</f>
        <v>300</v>
      </c>
      <c r="I6" s="5" t="n">
        <v>200</v>
      </c>
      <c r="J6" s="5" t="n">
        <v>300</v>
      </c>
    </row>
    <row r="7" customFormat="false" ht="12.75" hidden="false" customHeight="false" outlineLevel="0" collapsed="false">
      <c r="A7" s="6" t="n">
        <v>30</v>
      </c>
      <c r="B7" s="6"/>
      <c r="C7" s="7" t="n">
        <f aca="false">A7/24</f>
        <v>1.25</v>
      </c>
      <c r="D7" s="4" t="n">
        <f aca="false">IF(AND('Treatment threshold graphs'!$M$6&gt;=22,'Treatment threshold graphs'!$M$6&lt;=37),D6+(($D$15-$D$2)/12),'Data sheet'!I7)</f>
        <v>212</v>
      </c>
      <c r="E7" s="4" t="n">
        <f aca="false">IF(AND('Treatment threshold graphs'!$M$6&gt;=22,'Treatment threshold graphs'!$M$6&lt;=37),E6+(($E$14-$E$2)/12),'Data sheet'!J7)</f>
        <v>350</v>
      </c>
      <c r="I7" s="5" t="n">
        <v>212</v>
      </c>
      <c r="J7" s="5" t="n">
        <v>350</v>
      </c>
    </row>
    <row r="8" customFormat="false" ht="12.75" hidden="false" customHeight="false" outlineLevel="0" collapsed="false">
      <c r="A8" s="6" t="n">
        <v>36</v>
      </c>
      <c r="B8" s="6"/>
      <c r="C8" s="7" t="n">
        <f aca="false">A8/24</f>
        <v>1.5</v>
      </c>
      <c r="D8" s="4" t="n">
        <f aca="false">IF(AND('Treatment threshold graphs'!$M$6&gt;=22,'Treatment threshold graphs'!$M$6&lt;=37),D7+(($D$15-$D$2)/12),'Data sheet'!I8)</f>
        <v>225</v>
      </c>
      <c r="E8" s="4" t="n">
        <f aca="false">IF(AND('Treatment threshold graphs'!$M$6&gt;=22,'Treatment threshold graphs'!$M$6&lt;=37),E7+(($E$14-$E$2)/12),'Data sheet'!J8)</f>
        <v>400</v>
      </c>
      <c r="I8" s="5" t="n">
        <v>225</v>
      </c>
      <c r="J8" s="5" t="n">
        <v>400</v>
      </c>
    </row>
    <row r="9" customFormat="false" ht="12.75" hidden="false" customHeight="false" outlineLevel="0" collapsed="false">
      <c r="A9" s="6" t="n">
        <v>42</v>
      </c>
      <c r="B9" s="6"/>
      <c r="C9" s="7" t="n">
        <f aca="false">A9/24</f>
        <v>1.75</v>
      </c>
      <c r="D9" s="4" t="n">
        <f aca="false">IF(AND('Treatment threshold graphs'!$M$6&gt;=22,'Treatment threshold graphs'!$M$6&lt;=37),D8+(($D$15-$D$2)/12),'Data sheet'!I9)</f>
        <v>237</v>
      </c>
      <c r="E9" s="4" t="n">
        <f aca="false">IF(AND('Treatment threshold graphs'!$M$6&gt;=22,'Treatment threshold graphs'!$M$6&lt;=37),E8+(($E$14-$E$2)/12),'Data sheet'!J9)</f>
        <v>450</v>
      </c>
      <c r="I9" s="5" t="n">
        <v>237</v>
      </c>
      <c r="J9" s="5" t="n">
        <v>450</v>
      </c>
    </row>
    <row r="10" customFormat="false" ht="12.75" hidden="false" customHeight="false" outlineLevel="0" collapsed="false">
      <c r="A10" s="6" t="n">
        <v>48</v>
      </c>
      <c r="B10" s="6" t="n">
        <v>2</v>
      </c>
      <c r="C10" s="7" t="n">
        <f aca="false">A10/24</f>
        <v>2</v>
      </c>
      <c r="D10" s="4" t="n">
        <f aca="false">IF(AND('Treatment threshold graphs'!$M$6&gt;=22,'Treatment threshold graphs'!$M$6&lt;=37),D9+(($D$15-$D$2)/12),'Data sheet'!I10)</f>
        <v>250</v>
      </c>
      <c r="E10" s="4" t="n">
        <f aca="false">IF(AND('Treatment threshold graphs'!$M$6&gt;=22,'Treatment threshold graphs'!$M$6&lt;=37),E9+(($E$14-$E$2)/12),'Data sheet'!J10)</f>
        <v>450</v>
      </c>
      <c r="I10" s="5" t="n">
        <v>250</v>
      </c>
      <c r="J10" s="5" t="n">
        <v>450</v>
      </c>
    </row>
    <row r="11" customFormat="false" ht="12.75" hidden="false" customHeight="false" outlineLevel="0" collapsed="false">
      <c r="A11" s="6" t="n">
        <v>54</v>
      </c>
      <c r="B11" s="6"/>
      <c r="C11" s="7" t="n">
        <f aca="false">A11/24</f>
        <v>2.25</v>
      </c>
      <c r="D11" s="4" t="n">
        <f aca="false">IF(AND('Treatment threshold graphs'!$M$6&gt;=22,'Treatment threshold graphs'!$M$6&lt;=37),D10+(($D$15-$D$2)/12),'Data sheet'!I11)</f>
        <v>262</v>
      </c>
      <c r="E11" s="4" t="n">
        <f aca="false">IF(AND('Treatment threshold graphs'!$M$6&gt;=22,'Treatment threshold graphs'!$M$6&lt;=37),E10+(($E$14-$E$2)/12),'Data sheet'!J11)</f>
        <v>450</v>
      </c>
      <c r="I11" s="5" t="n">
        <v>262</v>
      </c>
      <c r="J11" s="5" t="n">
        <v>450</v>
      </c>
    </row>
    <row r="12" customFormat="false" ht="12.75" hidden="false" customHeight="false" outlineLevel="0" collapsed="false">
      <c r="A12" s="6" t="n">
        <v>60</v>
      </c>
      <c r="B12" s="6"/>
      <c r="C12" s="7" t="n">
        <f aca="false">A12/24</f>
        <v>2.5</v>
      </c>
      <c r="D12" s="4" t="n">
        <f aca="false">IF(AND('Treatment threshold graphs'!$M$6&gt;=22,'Treatment threshold graphs'!$M$6&lt;=37),D11+(($D$15-$D$2)/12),'Data sheet'!I12)</f>
        <v>275</v>
      </c>
      <c r="E12" s="4" t="n">
        <f aca="false">IF(AND('Treatment threshold graphs'!$M$6&gt;=22,'Treatment threshold graphs'!$M$6&lt;=37),E11+(($E$14-$E$2)/12),'Data sheet'!J12)</f>
        <v>450</v>
      </c>
      <c r="I12" s="5" t="n">
        <v>275</v>
      </c>
      <c r="J12" s="5" t="n">
        <v>450</v>
      </c>
    </row>
    <row r="13" customFormat="false" ht="12.75" hidden="false" customHeight="false" outlineLevel="0" collapsed="false">
      <c r="A13" s="6" t="n">
        <v>66</v>
      </c>
      <c r="B13" s="6"/>
      <c r="C13" s="7" t="n">
        <f aca="false">A13/24</f>
        <v>2.75</v>
      </c>
      <c r="D13" s="4" t="n">
        <f aca="false">IF(AND('Treatment threshold graphs'!$M$6&gt;=22,'Treatment threshold graphs'!$M$6&lt;=37),D12+(($D$15-$D$2)/12),'Data sheet'!I13)</f>
        <v>287</v>
      </c>
      <c r="E13" s="4" t="n">
        <f aca="false">IF(AND('Treatment threshold graphs'!$M$6&gt;=22,'Treatment threshold graphs'!$M$6&lt;=37),E12+(($E$14-$E$2)/12),'Data sheet'!J13)</f>
        <v>450</v>
      </c>
      <c r="I13" s="5" t="n">
        <v>287</v>
      </c>
      <c r="J13" s="5" t="n">
        <v>450</v>
      </c>
    </row>
    <row r="14" customFormat="false" ht="12.75" hidden="false" customHeight="false" outlineLevel="0" collapsed="false">
      <c r="A14" s="6" t="n">
        <v>72</v>
      </c>
      <c r="B14" s="6" t="n">
        <v>3</v>
      </c>
      <c r="C14" s="7" t="n">
        <f aca="false">A14/24</f>
        <v>3</v>
      </c>
      <c r="D14" s="4" t="n">
        <f aca="false">IF(AND('Treatment threshold graphs'!$M$6&gt;=22,'Treatment threshold graphs'!$M$6&lt;=37),D13+(($D$15-$D$2)/12),'Data sheet'!I14)</f>
        <v>300</v>
      </c>
      <c r="E14" s="4" t="n">
        <f aca="false">IF(AND('Treatment threshold graphs'!$M$6&gt;=22,'Treatment threshold graphs'!$M$6&lt;=37),'Treatment threshold graphs'!$M$6*10,'Data sheet'!J14)</f>
        <v>450</v>
      </c>
      <c r="I14" s="5" t="n">
        <v>300</v>
      </c>
      <c r="J14" s="5" t="n">
        <v>450</v>
      </c>
    </row>
    <row r="15" customFormat="false" ht="12.75" hidden="false" customHeight="false" outlineLevel="0" collapsed="false">
      <c r="A15" s="6" t="n">
        <v>78</v>
      </c>
      <c r="B15" s="6"/>
      <c r="C15" s="7" t="n">
        <f aca="false">A15/24</f>
        <v>3.25</v>
      </c>
      <c r="D15" s="4" t="n">
        <f aca="false">IF(AND('Treatment threshold graphs'!$M$6&gt;=22,'Treatment threshold graphs'!$M$6&lt;=37),'Treatment threshold graphs'!$M$6*10-100,'Data sheet'!I15)</f>
        <v>312</v>
      </c>
      <c r="E15" s="4" t="n">
        <f aca="false">IF(AND('Treatment threshold graphs'!$M$6&gt;=22,'Treatment threshold graphs'!$M$6&lt;=37),'Treatment threshold graphs'!$M$6*10,'Data sheet'!J15)</f>
        <v>450</v>
      </c>
      <c r="I15" s="5" t="n">
        <v>312</v>
      </c>
      <c r="J15" s="5" t="n">
        <v>450</v>
      </c>
    </row>
    <row r="16" customFormat="false" ht="12.75" hidden="false" customHeight="false" outlineLevel="0" collapsed="false">
      <c r="A16" s="6" t="n">
        <v>84</v>
      </c>
      <c r="B16" s="6"/>
      <c r="C16" s="7" t="n">
        <f aca="false">A16/24</f>
        <v>3.5</v>
      </c>
      <c r="D16" s="4" t="n">
        <f aca="false">IF(AND('Treatment threshold graphs'!$M$6&gt;=22,'Treatment threshold graphs'!$M$6&lt;=37),'Treatment threshold graphs'!$M$6*10-100,'Data sheet'!I16)</f>
        <v>325</v>
      </c>
      <c r="E16" s="4" t="n">
        <f aca="false">IF(AND('Treatment threshold graphs'!$M$6&gt;=22,'Treatment threshold graphs'!$M$6&lt;=37),'Treatment threshold graphs'!$M$6*10,'Data sheet'!J16)</f>
        <v>450</v>
      </c>
      <c r="I16" s="5" t="n">
        <v>325</v>
      </c>
      <c r="J16" s="5" t="n">
        <v>450</v>
      </c>
    </row>
    <row r="17" customFormat="false" ht="12.75" hidden="false" customHeight="false" outlineLevel="0" collapsed="false">
      <c r="A17" s="6" t="n">
        <v>90</v>
      </c>
      <c r="B17" s="6"/>
      <c r="C17" s="7" t="n">
        <f aca="false">A17/24</f>
        <v>3.75</v>
      </c>
      <c r="D17" s="4" t="n">
        <f aca="false">IF(AND('Treatment threshold graphs'!$M$6&gt;=22,'Treatment threshold graphs'!$M$6&lt;=37),'Treatment threshold graphs'!$M$6*10-100,'Data sheet'!I17)</f>
        <v>337</v>
      </c>
      <c r="E17" s="4" t="n">
        <f aca="false">IF(AND('Treatment threshold graphs'!$M$6&gt;=22,'Treatment threshold graphs'!$M$6&lt;=37),'Treatment threshold graphs'!$M$6*10,'Data sheet'!J17)</f>
        <v>450</v>
      </c>
      <c r="G17" s="8" t="s">
        <v>6</v>
      </c>
      <c r="I17" s="5" t="n">
        <v>337</v>
      </c>
      <c r="J17" s="5" t="n">
        <v>450</v>
      </c>
    </row>
    <row r="18" customFormat="false" ht="12.75" hidden="false" customHeight="false" outlineLevel="0" collapsed="false">
      <c r="A18" s="6" t="n">
        <v>96</v>
      </c>
      <c r="B18" s="6" t="n">
        <v>4</v>
      </c>
      <c r="C18" s="7" t="n">
        <f aca="false">A18/24</f>
        <v>4</v>
      </c>
      <c r="D18" s="4" t="n">
        <f aca="false">IF(AND('Treatment threshold graphs'!$M$6&gt;=22,'Treatment threshold graphs'!$M$6&lt;=37),'Treatment threshold graphs'!$M$6*10-100,'Data sheet'!I18)</f>
        <v>350</v>
      </c>
      <c r="E18" s="4" t="n">
        <f aca="false">IF(AND('Treatment threshold graphs'!$M$6&gt;=22,'Treatment threshold graphs'!$M$6&lt;=37),'Treatment threshold graphs'!$M$6*10,'Data sheet'!J18)</f>
        <v>450</v>
      </c>
      <c r="I18" s="5" t="n">
        <v>350</v>
      </c>
      <c r="J18" s="5" t="n">
        <v>450</v>
      </c>
    </row>
    <row r="19" customFormat="false" ht="12.75" hidden="false" customHeight="false" outlineLevel="0" collapsed="false">
      <c r="A19" s="6" t="n">
        <v>102</v>
      </c>
      <c r="B19" s="6"/>
      <c r="C19" s="7" t="n">
        <f aca="false">A19/24</f>
        <v>4.25</v>
      </c>
      <c r="D19" s="4" t="n">
        <f aca="false">IF(AND('Treatment threshold graphs'!$M$6&gt;=22,'Treatment threshold graphs'!$M$6&lt;=37),'Treatment threshold graphs'!$M$6*10-100,'Data sheet'!I19)</f>
        <v>350</v>
      </c>
      <c r="E19" s="4" t="n">
        <f aca="false">IF(AND('Treatment threshold graphs'!$M$6&gt;=22,'Treatment threshold graphs'!$M$6&lt;=37),'Treatment threshold graphs'!$M$6*10,'Data sheet'!J19)</f>
        <v>450</v>
      </c>
      <c r="I19" s="5" t="n">
        <v>350</v>
      </c>
      <c r="J19" s="5" t="n">
        <v>450</v>
      </c>
    </row>
    <row r="20" customFormat="false" ht="12.75" hidden="false" customHeight="false" outlineLevel="0" collapsed="false">
      <c r="A20" s="6" t="n">
        <v>108</v>
      </c>
      <c r="B20" s="6"/>
      <c r="C20" s="7" t="n">
        <f aca="false">A20/24</f>
        <v>4.5</v>
      </c>
      <c r="D20" s="4" t="n">
        <f aca="false">IF(AND('Treatment threshold graphs'!$M$6&gt;=22,'Treatment threshold graphs'!$M$6&lt;=37),'Treatment threshold graphs'!$M$6*10-100,'Data sheet'!I20)</f>
        <v>350</v>
      </c>
      <c r="E20" s="4" t="n">
        <f aca="false">IF(AND('Treatment threshold graphs'!$M$6&gt;=22,'Treatment threshold graphs'!$M$6&lt;=37),'Treatment threshold graphs'!$M$6*10,'Data sheet'!J20)</f>
        <v>450</v>
      </c>
      <c r="I20" s="5" t="n">
        <v>350</v>
      </c>
      <c r="J20" s="5" t="n">
        <v>450</v>
      </c>
    </row>
    <row r="21" customFormat="false" ht="12.75" hidden="false" customHeight="false" outlineLevel="0" collapsed="false">
      <c r="A21" s="6" t="n">
        <v>114</v>
      </c>
      <c r="B21" s="6"/>
      <c r="C21" s="7" t="n">
        <f aca="false">A21/24</f>
        <v>4.75</v>
      </c>
      <c r="D21" s="4" t="n">
        <f aca="false">IF(AND('Treatment threshold graphs'!$M$6&gt;=22,'Treatment threshold graphs'!$M$6&lt;=37),'Treatment threshold graphs'!$M$6*10-100,'Data sheet'!I21)</f>
        <v>350</v>
      </c>
      <c r="E21" s="4" t="n">
        <f aca="false">IF(AND('Treatment threshold graphs'!$M$6&gt;=22,'Treatment threshold graphs'!$M$6&lt;=37),'Treatment threshold graphs'!$M$6*10,'Data sheet'!J21)</f>
        <v>450</v>
      </c>
      <c r="I21" s="5" t="n">
        <v>350</v>
      </c>
      <c r="J21" s="5" t="n">
        <v>450</v>
      </c>
    </row>
    <row r="22" customFormat="false" ht="12.75" hidden="false" customHeight="false" outlineLevel="0" collapsed="false">
      <c r="A22" s="6" t="n">
        <v>120</v>
      </c>
      <c r="B22" s="6" t="n">
        <v>5</v>
      </c>
      <c r="C22" s="7" t="n">
        <f aca="false">A22/24</f>
        <v>5</v>
      </c>
      <c r="D22" s="4" t="n">
        <f aca="false">IF(AND('Treatment threshold graphs'!$M$6&gt;=22,'Treatment threshold graphs'!$M$6&lt;=37),'Treatment threshold graphs'!$M$6*10-100,'Data sheet'!I22)</f>
        <v>350</v>
      </c>
      <c r="E22" s="4" t="n">
        <f aca="false">IF(AND('Treatment threshold graphs'!$M$6&gt;=22,'Treatment threshold graphs'!$M$6&lt;=37),'Treatment threshold graphs'!$M$6*10,'Data sheet'!J22)</f>
        <v>450</v>
      </c>
      <c r="I22" s="5" t="n">
        <v>350</v>
      </c>
      <c r="J22" s="5" t="n">
        <v>450</v>
      </c>
    </row>
    <row r="23" customFormat="false" ht="12.75" hidden="false" customHeight="false" outlineLevel="0" collapsed="false">
      <c r="A23" s="6" t="n">
        <v>126</v>
      </c>
      <c r="B23" s="6"/>
      <c r="C23" s="7" t="n">
        <f aca="false">A23/24</f>
        <v>5.25</v>
      </c>
      <c r="D23" s="4" t="n">
        <f aca="false">IF(AND('Treatment threshold graphs'!$M$6&gt;=22,'Treatment threshold graphs'!$M$6&lt;=37),'Treatment threshold graphs'!$M$6*10-100,'Data sheet'!I23)</f>
        <v>350</v>
      </c>
      <c r="E23" s="4" t="n">
        <f aca="false">IF(AND('Treatment threshold graphs'!$M$6&gt;=22,'Treatment threshold graphs'!$M$6&lt;=37),'Treatment threshold graphs'!$M$6*10,'Data sheet'!J23)</f>
        <v>450</v>
      </c>
      <c r="I23" s="5" t="n">
        <v>350</v>
      </c>
      <c r="J23" s="5" t="n">
        <v>450</v>
      </c>
    </row>
    <row r="24" customFormat="false" ht="12.75" hidden="false" customHeight="false" outlineLevel="0" collapsed="false">
      <c r="A24" s="6" t="n">
        <v>132</v>
      </c>
      <c r="B24" s="6"/>
      <c r="C24" s="7" t="n">
        <f aca="false">A24/24</f>
        <v>5.5</v>
      </c>
      <c r="D24" s="4" t="n">
        <f aca="false">IF(AND('Treatment threshold graphs'!$M$6&gt;=22,'Treatment threshold graphs'!$M$6&lt;=37),'Treatment threshold graphs'!$M$6*10-100,'Data sheet'!I24)</f>
        <v>350</v>
      </c>
      <c r="E24" s="4" t="n">
        <f aca="false">IF(AND('Treatment threshold graphs'!$M$6&gt;=22,'Treatment threshold graphs'!$M$6&lt;=37),'Treatment threshold graphs'!$M$6*10,'Data sheet'!J24)</f>
        <v>450</v>
      </c>
      <c r="I24" s="5" t="n">
        <v>350</v>
      </c>
      <c r="J24" s="5" t="n">
        <v>450</v>
      </c>
    </row>
    <row r="25" customFormat="false" ht="12.75" hidden="false" customHeight="false" outlineLevel="0" collapsed="false">
      <c r="A25" s="6" t="n">
        <v>138</v>
      </c>
      <c r="B25" s="6"/>
      <c r="C25" s="7" t="n">
        <f aca="false">A25/24</f>
        <v>5.75</v>
      </c>
      <c r="D25" s="4" t="n">
        <f aca="false">IF(AND('Treatment threshold graphs'!$M$6&gt;=22,'Treatment threshold graphs'!$M$6&lt;=37),'Treatment threshold graphs'!$M$6*10-100,'Data sheet'!I25)</f>
        <v>350</v>
      </c>
      <c r="E25" s="4" t="n">
        <f aca="false">IF(AND('Treatment threshold graphs'!$M$6&gt;=22,'Treatment threshold graphs'!$M$6&lt;=37),'Treatment threshold graphs'!$M$6*10,'Data sheet'!J25)</f>
        <v>450</v>
      </c>
      <c r="G25" s="8" t="s">
        <v>6</v>
      </c>
      <c r="I25" s="5" t="n">
        <v>350</v>
      </c>
      <c r="J25" s="5" t="n">
        <v>450</v>
      </c>
    </row>
    <row r="26" customFormat="false" ht="12.75" hidden="false" customHeight="false" outlineLevel="0" collapsed="false">
      <c r="A26" s="6" t="n">
        <v>144</v>
      </c>
      <c r="B26" s="6" t="n">
        <v>6</v>
      </c>
      <c r="C26" s="7" t="n">
        <f aca="false">A26/24</f>
        <v>6</v>
      </c>
      <c r="D26" s="4" t="n">
        <f aca="false">IF(AND('Treatment threshold graphs'!$M$6&gt;=22,'Treatment threshold graphs'!$M$6&lt;=37),'Treatment threshold graphs'!$M$6*10-100,'Data sheet'!I26)</f>
        <v>350</v>
      </c>
      <c r="E26" s="4" t="n">
        <f aca="false">IF(AND('Treatment threshold graphs'!$M$6&gt;=22,'Treatment threshold graphs'!$M$6&lt;=37),'Treatment threshold graphs'!$M$6*10,'Data sheet'!J26)</f>
        <v>450</v>
      </c>
      <c r="I26" s="5" t="n">
        <v>350</v>
      </c>
      <c r="J26" s="5" t="n">
        <v>450</v>
      </c>
    </row>
    <row r="27" customFormat="false" ht="12.75" hidden="false" customHeight="false" outlineLevel="0" collapsed="false">
      <c r="A27" s="6" t="n">
        <v>150</v>
      </c>
      <c r="B27" s="6"/>
      <c r="C27" s="7" t="n">
        <f aca="false">A27/24</f>
        <v>6.25</v>
      </c>
      <c r="D27" s="4" t="n">
        <f aca="false">IF(AND('Treatment threshold graphs'!$M$6&gt;=22,'Treatment threshold graphs'!$M$6&lt;=37),'Treatment threshold graphs'!$M$6*10-100,'Data sheet'!I27)</f>
        <v>350</v>
      </c>
      <c r="E27" s="4" t="n">
        <f aca="false">IF(AND('Treatment threshold graphs'!$M$6&gt;=22,'Treatment threshold graphs'!$M$6&lt;=37),'Treatment threshold graphs'!$M$6*10,'Data sheet'!J27)</f>
        <v>450</v>
      </c>
      <c r="I27" s="5" t="n">
        <v>350</v>
      </c>
      <c r="J27" s="5" t="n">
        <v>450</v>
      </c>
    </row>
    <row r="28" customFormat="false" ht="12.75" hidden="false" customHeight="false" outlineLevel="0" collapsed="false">
      <c r="A28" s="6" t="n">
        <v>156</v>
      </c>
      <c r="B28" s="6"/>
      <c r="C28" s="7" t="n">
        <f aca="false">A28/24</f>
        <v>6.5</v>
      </c>
      <c r="D28" s="4" t="n">
        <f aca="false">IF(AND('Treatment threshold graphs'!$M$6&gt;=22,'Treatment threshold graphs'!$M$6&lt;=37),'Treatment threshold graphs'!$M$6*10-100,'Data sheet'!I28)</f>
        <v>350</v>
      </c>
      <c r="E28" s="4" t="n">
        <f aca="false">IF(AND('Treatment threshold graphs'!$M$6&gt;=22,'Treatment threshold graphs'!$M$6&lt;=37),'Treatment threshold graphs'!$M$6*10,'Data sheet'!J28)</f>
        <v>450</v>
      </c>
      <c r="I28" s="5" t="n">
        <v>350</v>
      </c>
      <c r="J28" s="5" t="n">
        <v>450</v>
      </c>
    </row>
    <row r="29" customFormat="false" ht="12.75" hidden="false" customHeight="false" outlineLevel="0" collapsed="false">
      <c r="A29" s="6" t="n">
        <v>162</v>
      </c>
      <c r="B29" s="6"/>
      <c r="C29" s="7" t="n">
        <f aca="false">A29/24</f>
        <v>6.75</v>
      </c>
      <c r="D29" s="4" t="n">
        <f aca="false">IF(AND('Treatment threshold graphs'!$M$6&gt;=22,'Treatment threshold graphs'!$M$6&lt;=37),'Treatment threshold graphs'!$M$6*10-100,'Data sheet'!I29)</f>
        <v>350</v>
      </c>
      <c r="E29" s="4" t="n">
        <f aca="false">IF(AND('Treatment threshold graphs'!$M$6&gt;=22,'Treatment threshold graphs'!$M$6&lt;=37),'Treatment threshold graphs'!$M$6*10,'Data sheet'!J29)</f>
        <v>450</v>
      </c>
      <c r="I29" s="5" t="n">
        <v>350</v>
      </c>
      <c r="J29" s="5" t="n">
        <v>450</v>
      </c>
    </row>
    <row r="30" customFormat="false" ht="12.75" hidden="false" customHeight="false" outlineLevel="0" collapsed="false">
      <c r="A30" s="6" t="n">
        <v>168</v>
      </c>
      <c r="B30" s="6" t="n">
        <v>7</v>
      </c>
      <c r="C30" s="7" t="n">
        <f aca="false">A30/24</f>
        <v>7</v>
      </c>
      <c r="D30" s="4" t="n">
        <f aca="false">IF(AND('Treatment threshold graphs'!$M$6&gt;=22,'Treatment threshold graphs'!$M$6&lt;=37),'Treatment threshold graphs'!$M$6*10-100,'Data sheet'!I30)</f>
        <v>350</v>
      </c>
      <c r="E30" s="4" t="n">
        <f aca="false">IF(AND('Treatment threshold graphs'!$M$6&gt;=22,'Treatment threshold graphs'!$M$6&lt;=37),'Treatment threshold graphs'!$M$6*10,'Data sheet'!J30)</f>
        <v>450</v>
      </c>
      <c r="I30" s="5" t="n">
        <v>350</v>
      </c>
      <c r="J30" s="5" t="n">
        <v>450</v>
      </c>
    </row>
    <row r="31" customFormat="false" ht="12.75" hidden="false" customHeight="false" outlineLevel="0" collapsed="false">
      <c r="A31" s="6" t="n">
        <v>174</v>
      </c>
      <c r="B31" s="6"/>
      <c r="C31" s="7" t="n">
        <f aca="false">A31/24</f>
        <v>7.25</v>
      </c>
      <c r="D31" s="4" t="n">
        <f aca="false">IF(AND('Treatment threshold graphs'!$M$6&gt;=22,'Treatment threshold graphs'!$M$6&lt;=37),'Treatment threshold graphs'!$M$6*10-100,'Data sheet'!I31)</f>
        <v>350</v>
      </c>
      <c r="E31" s="4" t="n">
        <f aca="false">IF(AND('Treatment threshold graphs'!$M$6&gt;=22,'Treatment threshold graphs'!$M$6&lt;=37),'Treatment threshold graphs'!$M$6*10,'Data sheet'!J31)</f>
        <v>450</v>
      </c>
      <c r="I31" s="5" t="n">
        <v>350</v>
      </c>
      <c r="J31" s="5" t="n">
        <v>450</v>
      </c>
    </row>
    <row r="32" customFormat="false" ht="12.75" hidden="false" customHeight="false" outlineLevel="0" collapsed="false">
      <c r="A32" s="6" t="n">
        <v>180</v>
      </c>
      <c r="B32" s="6"/>
      <c r="C32" s="7" t="n">
        <f aca="false">A32/24</f>
        <v>7.5</v>
      </c>
      <c r="D32" s="4" t="n">
        <f aca="false">IF(AND('Treatment threshold graphs'!$M$6&gt;=22,'Treatment threshold graphs'!$M$6&lt;=37),'Treatment threshold graphs'!$M$6*10-100,'Data sheet'!I32)</f>
        <v>350</v>
      </c>
      <c r="E32" s="4" t="n">
        <f aca="false">IF(AND('Treatment threshold graphs'!$M$6&gt;=22,'Treatment threshold graphs'!$M$6&lt;=37),'Treatment threshold graphs'!$M$6*10,'Data sheet'!J32)</f>
        <v>450</v>
      </c>
      <c r="I32" s="5" t="n">
        <v>350</v>
      </c>
      <c r="J32" s="5" t="n">
        <v>450</v>
      </c>
    </row>
    <row r="33" customFormat="false" ht="12.75" hidden="false" customHeight="false" outlineLevel="0" collapsed="false">
      <c r="A33" s="6" t="n">
        <v>186</v>
      </c>
      <c r="B33" s="6"/>
      <c r="C33" s="7" t="n">
        <f aca="false">A33/24</f>
        <v>7.75</v>
      </c>
      <c r="D33" s="4" t="n">
        <f aca="false">IF(AND('Treatment threshold graphs'!$M$6&gt;=22,'Treatment threshold graphs'!$M$6&lt;=37),'Treatment threshold graphs'!$M$6*10-100,'Data sheet'!I33)</f>
        <v>350</v>
      </c>
      <c r="E33" s="4" t="n">
        <f aca="false">IF(AND('Treatment threshold graphs'!$M$6&gt;=22,'Treatment threshold graphs'!$M$6&lt;=37),'Treatment threshold graphs'!$M$6*10,'Data sheet'!J33)</f>
        <v>450</v>
      </c>
      <c r="I33" s="5" t="n">
        <v>350</v>
      </c>
      <c r="J33" s="5" t="n">
        <v>450</v>
      </c>
    </row>
    <row r="34" customFormat="false" ht="12.75" hidden="false" customHeight="false" outlineLevel="0" collapsed="false">
      <c r="A34" s="6" t="n">
        <v>192</v>
      </c>
      <c r="B34" s="6" t="n">
        <v>8</v>
      </c>
      <c r="C34" s="7" t="n">
        <f aca="false">A34/24</f>
        <v>8</v>
      </c>
      <c r="D34" s="4" t="n">
        <f aca="false">IF(AND('Treatment threshold graphs'!$M$6&gt;=22,'Treatment threshold graphs'!$M$6&lt;=37),'Treatment threshold graphs'!$M$6*10-100,'Data sheet'!I34)</f>
        <v>350</v>
      </c>
      <c r="E34" s="4" t="n">
        <f aca="false">IF(AND('Treatment threshold graphs'!$M$6&gt;=22,'Treatment threshold graphs'!$M$6&lt;=37),'Treatment threshold graphs'!$M$6*10,'Data sheet'!J34)</f>
        <v>450</v>
      </c>
      <c r="I34" s="5" t="n">
        <v>350</v>
      </c>
      <c r="J34" s="5" t="n">
        <v>450</v>
      </c>
    </row>
    <row r="35" customFormat="false" ht="12.75" hidden="false" customHeight="false" outlineLevel="0" collapsed="false">
      <c r="A35" s="6" t="n">
        <v>198</v>
      </c>
      <c r="B35" s="6"/>
      <c r="C35" s="7" t="n">
        <f aca="false">A35/24</f>
        <v>8.25</v>
      </c>
      <c r="D35" s="4" t="n">
        <f aca="false">IF(AND('Treatment threshold graphs'!$M$6&gt;=22,'Treatment threshold graphs'!$M$6&lt;=37),'Treatment threshold graphs'!$M$6*10-100,'Data sheet'!I35)</f>
        <v>350</v>
      </c>
      <c r="E35" s="4" t="n">
        <f aca="false">IF(AND('Treatment threshold graphs'!$M$6&gt;=22,'Treatment threshold graphs'!$M$6&lt;=37),'Treatment threshold graphs'!$M$6*10,'Data sheet'!J35)</f>
        <v>450</v>
      </c>
      <c r="I35" s="5" t="n">
        <v>350</v>
      </c>
      <c r="J35" s="5" t="n">
        <v>450</v>
      </c>
    </row>
    <row r="36" customFormat="false" ht="12.75" hidden="false" customHeight="false" outlineLevel="0" collapsed="false">
      <c r="A36" s="6" t="n">
        <v>204</v>
      </c>
      <c r="B36" s="6"/>
      <c r="C36" s="7" t="n">
        <f aca="false">A36/24</f>
        <v>8.5</v>
      </c>
      <c r="D36" s="4" t="n">
        <f aca="false">IF(AND('Treatment threshold graphs'!$M$6&gt;=22,'Treatment threshold graphs'!$M$6&lt;=37),'Treatment threshold graphs'!$M$6*10-100,'Data sheet'!I36)</f>
        <v>350</v>
      </c>
      <c r="E36" s="4" t="n">
        <f aca="false">IF(AND('Treatment threshold graphs'!$M$6&gt;=22,'Treatment threshold graphs'!$M$6&lt;=37),'Treatment threshold graphs'!$M$6*10,'Data sheet'!J36)</f>
        <v>450</v>
      </c>
      <c r="I36" s="5" t="n">
        <v>350</v>
      </c>
      <c r="J36" s="5" t="n">
        <v>450</v>
      </c>
    </row>
    <row r="37" customFormat="false" ht="12.75" hidden="false" customHeight="false" outlineLevel="0" collapsed="false">
      <c r="A37" s="6" t="n">
        <v>210</v>
      </c>
      <c r="B37" s="6"/>
      <c r="C37" s="7" t="n">
        <f aca="false">A37/24</f>
        <v>8.75</v>
      </c>
      <c r="D37" s="4" t="n">
        <f aca="false">IF(AND('Treatment threshold graphs'!$M$6&gt;=22,'Treatment threshold graphs'!$M$6&lt;=37),'Treatment threshold graphs'!$M$6*10-100,'Data sheet'!I37)</f>
        <v>350</v>
      </c>
      <c r="E37" s="4" t="n">
        <f aca="false">IF(AND('Treatment threshold graphs'!$M$6&gt;=22,'Treatment threshold graphs'!$M$6&lt;=37),'Treatment threshold graphs'!$M$6*10,'Data sheet'!J37)</f>
        <v>450</v>
      </c>
      <c r="I37" s="5" t="n">
        <v>350</v>
      </c>
      <c r="J37" s="5" t="n">
        <v>450</v>
      </c>
    </row>
    <row r="38" customFormat="false" ht="12.75" hidden="false" customHeight="false" outlineLevel="0" collapsed="false">
      <c r="A38" s="6" t="n">
        <v>216</v>
      </c>
      <c r="B38" s="6" t="n">
        <v>9</v>
      </c>
      <c r="C38" s="7" t="n">
        <f aca="false">A38/24</f>
        <v>9</v>
      </c>
      <c r="D38" s="4" t="n">
        <f aca="false">IF(AND('Treatment threshold graphs'!$M$6&gt;=22,'Treatment threshold graphs'!$M$6&lt;=37),'Treatment threshold graphs'!$M$6*10-100,'Data sheet'!I38)</f>
        <v>350</v>
      </c>
      <c r="E38" s="4" t="n">
        <f aca="false">IF(AND('Treatment threshold graphs'!$M$6&gt;=22,'Treatment threshold graphs'!$M$6&lt;=37),'Treatment threshold graphs'!$M$6*10,'Data sheet'!J38)</f>
        <v>450</v>
      </c>
      <c r="I38" s="5" t="n">
        <v>350</v>
      </c>
      <c r="J38" s="5" t="n">
        <v>450</v>
      </c>
    </row>
    <row r="39" customFormat="false" ht="12.75" hidden="false" customHeight="false" outlineLevel="0" collapsed="false">
      <c r="A39" s="6" t="n">
        <v>222</v>
      </c>
      <c r="B39" s="6"/>
      <c r="C39" s="7" t="n">
        <f aca="false">A39/24</f>
        <v>9.25</v>
      </c>
      <c r="D39" s="4" t="n">
        <f aca="false">IF(AND('Treatment threshold graphs'!$M$6&gt;=22,'Treatment threshold graphs'!$M$6&lt;=37),'Treatment threshold graphs'!$M$6*10-100,'Data sheet'!I39)</f>
        <v>350</v>
      </c>
      <c r="E39" s="4" t="n">
        <f aca="false">IF(AND('Treatment threshold graphs'!$M$6&gt;=22,'Treatment threshold graphs'!$M$6&lt;=37),'Treatment threshold graphs'!$M$6*10,'Data sheet'!J39)</f>
        <v>450</v>
      </c>
      <c r="I39" s="5" t="n">
        <v>350</v>
      </c>
      <c r="J39" s="5" t="n">
        <v>450</v>
      </c>
    </row>
    <row r="40" customFormat="false" ht="12.75" hidden="false" customHeight="false" outlineLevel="0" collapsed="false">
      <c r="A40" s="6" t="n">
        <v>228</v>
      </c>
      <c r="B40" s="6"/>
      <c r="C40" s="7" t="n">
        <f aca="false">A40/24</f>
        <v>9.5</v>
      </c>
      <c r="D40" s="4" t="n">
        <f aca="false">IF(AND('Treatment threshold graphs'!$M$6&gt;=22,'Treatment threshold graphs'!$M$6&lt;=37),'Treatment threshold graphs'!$M$6*10-100,'Data sheet'!I40)</f>
        <v>350</v>
      </c>
      <c r="E40" s="4" t="n">
        <f aca="false">IF(AND('Treatment threshold graphs'!$M$6&gt;=22,'Treatment threshold graphs'!$M$6&lt;=37),'Treatment threshold graphs'!$M$6*10,'Data sheet'!J40)</f>
        <v>450</v>
      </c>
      <c r="I40" s="5" t="n">
        <v>350</v>
      </c>
      <c r="J40" s="5" t="n">
        <v>450</v>
      </c>
    </row>
    <row r="41" customFormat="false" ht="12.75" hidden="false" customHeight="false" outlineLevel="0" collapsed="false">
      <c r="A41" s="6" t="n">
        <v>234</v>
      </c>
      <c r="B41" s="6"/>
      <c r="C41" s="7" t="n">
        <f aca="false">A41/24</f>
        <v>9.75</v>
      </c>
      <c r="D41" s="4" t="n">
        <f aca="false">IF(AND('Treatment threshold graphs'!$M$6&gt;=22,'Treatment threshold graphs'!$M$6&lt;=37),'Treatment threshold graphs'!$M$6*10-100,'Data sheet'!I41)</f>
        <v>350</v>
      </c>
      <c r="E41" s="4" t="n">
        <f aca="false">IF(AND('Treatment threshold graphs'!$M$6&gt;=22,'Treatment threshold graphs'!$M$6&lt;=37),'Treatment threshold graphs'!$M$6*10,'Data sheet'!J41)</f>
        <v>450</v>
      </c>
      <c r="I41" s="5" t="n">
        <v>350</v>
      </c>
      <c r="J41" s="5" t="n">
        <v>450</v>
      </c>
    </row>
    <row r="42" customFormat="false" ht="12.75" hidden="false" customHeight="false" outlineLevel="0" collapsed="false">
      <c r="A42" s="6" t="n">
        <v>240</v>
      </c>
      <c r="B42" s="6" t="n">
        <v>10</v>
      </c>
      <c r="C42" s="7" t="n">
        <f aca="false">A42/24</f>
        <v>10</v>
      </c>
      <c r="D42" s="4" t="n">
        <f aca="false">IF(AND('Treatment threshold graphs'!$M$6&gt;=22,'Treatment threshold graphs'!$M$6&lt;=37),'Treatment threshold graphs'!$M$6*10-100,'Data sheet'!I42)</f>
        <v>350</v>
      </c>
      <c r="E42" s="4" t="n">
        <f aca="false">IF(AND('Treatment threshold graphs'!$M$6&gt;=22,'Treatment threshold graphs'!$M$6&lt;=37),'Treatment threshold graphs'!$M$6*10,'Data sheet'!J42)</f>
        <v>450</v>
      </c>
      <c r="I42" s="5" t="n">
        <v>350</v>
      </c>
      <c r="J42" s="5" t="n">
        <v>450</v>
      </c>
    </row>
    <row r="43" customFormat="false" ht="12.75" hidden="false" customHeight="false" outlineLevel="0" collapsed="false">
      <c r="A43" s="6" t="n">
        <v>246</v>
      </c>
      <c r="B43" s="9"/>
      <c r="C43" s="7" t="n">
        <f aca="false">A43/24</f>
        <v>10.25</v>
      </c>
      <c r="D43" s="4" t="n">
        <f aca="false">IF(AND('Treatment threshold graphs'!$M$6&gt;=22,'Treatment threshold graphs'!$M$6&lt;=37),'Treatment threshold graphs'!$M$6*10-100,'Data sheet'!I43)</f>
        <v>350</v>
      </c>
      <c r="E43" s="4" t="n">
        <f aca="false">IF(AND('Treatment threshold graphs'!$M$6&gt;=22,'Treatment threshold graphs'!$M$6&lt;=37),'Treatment threshold graphs'!$M$6*10,'Data sheet'!J43)</f>
        <v>450</v>
      </c>
      <c r="I43" s="5" t="n">
        <v>350</v>
      </c>
      <c r="J43" s="5" t="n">
        <v>450</v>
      </c>
    </row>
    <row r="44" customFormat="false" ht="12.75" hidden="false" customHeight="false" outlineLevel="0" collapsed="false">
      <c r="A44" s="6" t="n">
        <v>252</v>
      </c>
      <c r="B44" s="9"/>
      <c r="C44" s="7" t="n">
        <f aca="false">A44/24</f>
        <v>10.5</v>
      </c>
      <c r="D44" s="4" t="n">
        <f aca="false">IF(AND('Treatment threshold graphs'!$M$6&gt;=22,'Treatment threshold graphs'!$M$6&lt;=37),'Treatment threshold graphs'!$M$6*10-100,'Data sheet'!I44)</f>
        <v>350</v>
      </c>
      <c r="E44" s="4" t="n">
        <f aca="false">IF(AND('Treatment threshold graphs'!$M$6&gt;=22,'Treatment threshold graphs'!$M$6&lt;=37),'Treatment threshold graphs'!$M$6*10,'Data sheet'!J44)</f>
        <v>450</v>
      </c>
      <c r="I44" s="5" t="n">
        <v>350</v>
      </c>
      <c r="J44" s="5" t="n">
        <v>450</v>
      </c>
    </row>
    <row r="45" customFormat="false" ht="12.75" hidden="false" customHeight="false" outlineLevel="0" collapsed="false">
      <c r="A45" s="6" t="n">
        <v>258</v>
      </c>
      <c r="B45" s="9"/>
      <c r="C45" s="7" t="n">
        <f aca="false">A45/24</f>
        <v>10.75</v>
      </c>
      <c r="D45" s="4" t="n">
        <f aca="false">IF(AND('Treatment threshold graphs'!$M$6&gt;=22,'Treatment threshold graphs'!$M$6&lt;=37),'Treatment threshold graphs'!$M$6*10-100,'Data sheet'!I45)</f>
        <v>350</v>
      </c>
      <c r="E45" s="4" t="n">
        <f aca="false">IF(AND('Treatment threshold graphs'!$M$6&gt;=22,'Treatment threshold graphs'!$M$6&lt;=37),'Treatment threshold graphs'!$M$6*10,'Data sheet'!J45)</f>
        <v>450</v>
      </c>
      <c r="I45" s="5" t="n">
        <v>350</v>
      </c>
      <c r="J45" s="5" t="n">
        <v>450</v>
      </c>
    </row>
    <row r="46" customFormat="false" ht="12.75" hidden="false" customHeight="false" outlineLevel="0" collapsed="false">
      <c r="A46" s="6" t="n">
        <v>264</v>
      </c>
      <c r="B46" s="9" t="n">
        <v>11</v>
      </c>
      <c r="C46" s="7" t="n">
        <f aca="false">A46/24</f>
        <v>11</v>
      </c>
      <c r="D46" s="4" t="n">
        <f aca="false">IF(AND('Treatment threshold graphs'!$M$6&gt;=22,'Treatment threshold graphs'!$M$6&lt;=37),'Treatment threshold graphs'!$M$6*10-100,'Data sheet'!I46)</f>
        <v>350</v>
      </c>
      <c r="E46" s="4" t="n">
        <f aca="false">IF(AND('Treatment threshold graphs'!$M$6&gt;=22,'Treatment threshold graphs'!$M$6&lt;=37),'Treatment threshold graphs'!$M$6*10,'Data sheet'!J46)</f>
        <v>450</v>
      </c>
      <c r="I46" s="5" t="n">
        <v>350</v>
      </c>
      <c r="J46" s="5" t="n">
        <v>450</v>
      </c>
    </row>
    <row r="47" customFormat="false" ht="12.75" hidden="false" customHeight="false" outlineLevel="0" collapsed="false">
      <c r="A47" s="6" t="n">
        <v>270</v>
      </c>
      <c r="B47" s="9"/>
      <c r="C47" s="7" t="n">
        <f aca="false">A47/24</f>
        <v>11.25</v>
      </c>
      <c r="D47" s="4" t="n">
        <f aca="false">IF(AND('Treatment threshold graphs'!$M$6&gt;=22,'Treatment threshold graphs'!$M$6&lt;=37),'Treatment threshold graphs'!$M$6*10-100,'Data sheet'!I47)</f>
        <v>350</v>
      </c>
      <c r="E47" s="4" t="n">
        <f aca="false">IF(AND('Treatment threshold graphs'!$M$6&gt;=22,'Treatment threshold graphs'!$M$6&lt;=37),'Treatment threshold graphs'!$M$6*10,'Data sheet'!J47)</f>
        <v>450</v>
      </c>
      <c r="I47" s="5" t="n">
        <v>350</v>
      </c>
      <c r="J47" s="5" t="n">
        <v>450</v>
      </c>
    </row>
    <row r="48" customFormat="false" ht="12.75" hidden="false" customHeight="false" outlineLevel="0" collapsed="false">
      <c r="A48" s="6" t="n">
        <v>276</v>
      </c>
      <c r="B48" s="9"/>
      <c r="C48" s="7" t="n">
        <f aca="false">A48/24</f>
        <v>11.5</v>
      </c>
      <c r="D48" s="4" t="n">
        <f aca="false">IF(AND('Treatment threshold graphs'!$M$6&gt;=22,'Treatment threshold graphs'!$M$6&lt;=37),'Treatment threshold graphs'!$M$6*10-100,'Data sheet'!I48)</f>
        <v>350</v>
      </c>
      <c r="E48" s="4" t="n">
        <f aca="false">IF(AND('Treatment threshold graphs'!$M$6&gt;=22,'Treatment threshold graphs'!$M$6&lt;=37),'Treatment threshold graphs'!$M$6*10,'Data sheet'!J48)</f>
        <v>450</v>
      </c>
      <c r="I48" s="5" t="n">
        <v>350</v>
      </c>
      <c r="J48" s="5" t="n">
        <v>450</v>
      </c>
    </row>
    <row r="49" customFormat="false" ht="12.75" hidden="false" customHeight="false" outlineLevel="0" collapsed="false">
      <c r="A49" s="6" t="n">
        <v>282</v>
      </c>
      <c r="B49" s="9"/>
      <c r="C49" s="7" t="n">
        <f aca="false">A49/24</f>
        <v>11.75</v>
      </c>
      <c r="D49" s="4" t="n">
        <f aca="false">IF(AND('Treatment threshold graphs'!$M$6&gt;=22,'Treatment threshold graphs'!$M$6&lt;=37),'Treatment threshold graphs'!$M$6*10-100,'Data sheet'!I49)</f>
        <v>350</v>
      </c>
      <c r="E49" s="4" t="n">
        <f aca="false">IF(AND('Treatment threshold graphs'!$M$6&gt;=22,'Treatment threshold graphs'!$M$6&lt;=37),'Treatment threshold graphs'!$M$6*10,'Data sheet'!J49)</f>
        <v>450</v>
      </c>
      <c r="I49" s="5" t="n">
        <v>350</v>
      </c>
      <c r="J49" s="5" t="n">
        <v>450</v>
      </c>
    </row>
    <row r="50" customFormat="false" ht="12.75" hidden="false" customHeight="false" outlineLevel="0" collapsed="false">
      <c r="A50" s="6" t="n">
        <v>288</v>
      </c>
      <c r="B50" s="9" t="n">
        <v>12</v>
      </c>
      <c r="C50" s="7" t="n">
        <f aca="false">A50/24</f>
        <v>12</v>
      </c>
      <c r="D50" s="4" t="n">
        <f aca="false">IF(AND('Treatment threshold graphs'!$M$6&gt;=22,'Treatment threshold graphs'!$M$6&lt;=37),'Treatment threshold graphs'!$M$6*10-100,'Data sheet'!I50)</f>
        <v>350</v>
      </c>
      <c r="E50" s="4" t="n">
        <f aca="false">IF(AND('Treatment threshold graphs'!$M$6&gt;=22,'Treatment threshold graphs'!$M$6&lt;=37),'Treatment threshold graphs'!$M$6*10,'Data sheet'!J50)</f>
        <v>450</v>
      </c>
      <c r="I50" s="5" t="n">
        <v>350</v>
      </c>
      <c r="J50" s="5" t="n">
        <v>450</v>
      </c>
    </row>
    <row r="51" customFormat="false" ht="12.75" hidden="false" customHeight="false" outlineLevel="0" collapsed="false">
      <c r="A51" s="6" t="n">
        <v>294</v>
      </c>
      <c r="B51" s="9"/>
      <c r="C51" s="7" t="n">
        <f aca="false">A51/24</f>
        <v>12.25</v>
      </c>
      <c r="D51" s="4" t="n">
        <f aca="false">IF(AND('Treatment threshold graphs'!$M$6&gt;=22,'Treatment threshold graphs'!$M$6&lt;=37),'Treatment threshold graphs'!$M$6*10-100,'Data sheet'!I51)</f>
        <v>350</v>
      </c>
      <c r="E51" s="4" t="n">
        <f aca="false">IF(AND('Treatment threshold graphs'!$M$6&gt;=22,'Treatment threshold graphs'!$M$6&lt;=37),'Treatment threshold graphs'!$M$6*10,'Data sheet'!J51)</f>
        <v>450</v>
      </c>
      <c r="I51" s="5" t="n">
        <v>350</v>
      </c>
      <c r="J51" s="5" t="n">
        <v>450</v>
      </c>
    </row>
    <row r="52" customFormat="false" ht="12.75" hidden="false" customHeight="false" outlineLevel="0" collapsed="false">
      <c r="A52" s="6" t="n">
        <v>300</v>
      </c>
      <c r="B52" s="9"/>
      <c r="C52" s="7" t="n">
        <f aca="false">A52/24</f>
        <v>12.5</v>
      </c>
      <c r="D52" s="4" t="n">
        <f aca="false">IF(AND('Treatment threshold graphs'!$M$6&gt;=22,'Treatment threshold graphs'!$M$6&lt;=37),'Treatment threshold graphs'!$M$6*10-100,'Data sheet'!I52)</f>
        <v>350</v>
      </c>
      <c r="E52" s="4" t="n">
        <f aca="false">IF(AND('Treatment threshold graphs'!$M$6&gt;=22,'Treatment threshold graphs'!$M$6&lt;=37),'Treatment threshold graphs'!$M$6*10,'Data sheet'!J52)</f>
        <v>450</v>
      </c>
      <c r="I52" s="5" t="n">
        <v>350</v>
      </c>
      <c r="J52" s="5" t="n">
        <v>450</v>
      </c>
    </row>
    <row r="53" customFormat="false" ht="12.75" hidden="false" customHeight="false" outlineLevel="0" collapsed="false">
      <c r="A53" s="6" t="n">
        <v>306</v>
      </c>
      <c r="B53" s="9"/>
      <c r="C53" s="7" t="n">
        <f aca="false">A53/24</f>
        <v>12.75</v>
      </c>
      <c r="D53" s="4" t="n">
        <f aca="false">IF(AND('Treatment threshold graphs'!$M$6&gt;=22,'Treatment threshold graphs'!$M$6&lt;=37),'Treatment threshold graphs'!$M$6*10-100,'Data sheet'!I53)</f>
        <v>350</v>
      </c>
      <c r="E53" s="4" t="n">
        <f aca="false">IF(AND('Treatment threshold graphs'!$M$6&gt;=22,'Treatment threshold graphs'!$M$6&lt;=37),'Treatment threshold graphs'!$M$6*10,'Data sheet'!J53)</f>
        <v>450</v>
      </c>
      <c r="I53" s="5" t="n">
        <v>350</v>
      </c>
      <c r="J53" s="5" t="n">
        <v>450</v>
      </c>
    </row>
    <row r="54" customFormat="false" ht="12.75" hidden="false" customHeight="false" outlineLevel="0" collapsed="false">
      <c r="A54" s="6" t="n">
        <v>312</v>
      </c>
      <c r="B54" s="9" t="n">
        <v>13</v>
      </c>
      <c r="C54" s="7" t="n">
        <f aca="false">A54/24</f>
        <v>13</v>
      </c>
      <c r="D54" s="4" t="n">
        <f aca="false">IF(AND('Treatment threshold graphs'!$M$6&gt;=22,'Treatment threshold graphs'!$M$6&lt;=37),'Treatment threshold graphs'!$M$6*10-100,'Data sheet'!I54)</f>
        <v>350</v>
      </c>
      <c r="E54" s="4" t="n">
        <f aca="false">IF(AND('Treatment threshold graphs'!$M$6&gt;=22,'Treatment threshold graphs'!$M$6&lt;=37),'Treatment threshold graphs'!$M$6*10,'Data sheet'!J54)</f>
        <v>450</v>
      </c>
      <c r="I54" s="5" t="n">
        <v>350</v>
      </c>
      <c r="J54" s="5" t="n">
        <v>450</v>
      </c>
    </row>
    <row r="55" customFormat="false" ht="12.75" hidden="false" customHeight="false" outlineLevel="0" collapsed="false">
      <c r="A55" s="6" t="n">
        <v>318</v>
      </c>
      <c r="B55" s="9"/>
      <c r="C55" s="7" t="n">
        <f aca="false">A55/24</f>
        <v>13.25</v>
      </c>
      <c r="D55" s="4" t="n">
        <f aca="false">IF(AND('Treatment threshold graphs'!$M$6&gt;=22,'Treatment threshold graphs'!$M$6&lt;=37),'Treatment threshold graphs'!$M$6*10-100,'Data sheet'!I55)</f>
        <v>350</v>
      </c>
      <c r="E55" s="4" t="n">
        <f aca="false">IF(AND('Treatment threshold graphs'!$M$6&gt;=22,'Treatment threshold graphs'!$M$6&lt;=37),'Treatment threshold graphs'!$M$6*10,'Data sheet'!J55)</f>
        <v>450</v>
      </c>
      <c r="I55" s="5" t="n">
        <v>350</v>
      </c>
      <c r="J55" s="5" t="n">
        <v>450</v>
      </c>
    </row>
    <row r="56" customFormat="false" ht="12.75" hidden="false" customHeight="false" outlineLevel="0" collapsed="false">
      <c r="A56" s="6" t="n">
        <v>324</v>
      </c>
      <c r="B56" s="9"/>
      <c r="C56" s="7" t="n">
        <f aca="false">A56/24</f>
        <v>13.5</v>
      </c>
      <c r="D56" s="4" t="n">
        <f aca="false">IF(AND('Treatment threshold graphs'!$M$6&gt;=22,'Treatment threshold graphs'!$M$6&lt;=37),'Treatment threshold graphs'!$M$6*10-100,'Data sheet'!I56)</f>
        <v>350</v>
      </c>
      <c r="E56" s="4" t="n">
        <f aca="false">IF(AND('Treatment threshold graphs'!$M$6&gt;=22,'Treatment threshold graphs'!$M$6&lt;=37),'Treatment threshold graphs'!$M$6*10,'Data sheet'!J56)</f>
        <v>450</v>
      </c>
      <c r="I56" s="5" t="n">
        <v>350</v>
      </c>
      <c r="J56" s="5" t="n">
        <v>450</v>
      </c>
    </row>
    <row r="57" customFormat="false" ht="12.75" hidden="false" customHeight="false" outlineLevel="0" collapsed="false">
      <c r="A57" s="6" t="n">
        <v>330</v>
      </c>
      <c r="B57" s="9"/>
      <c r="C57" s="7" t="n">
        <f aca="false">A57/24</f>
        <v>13.75</v>
      </c>
      <c r="D57" s="4" t="n">
        <f aca="false">IF(AND('Treatment threshold graphs'!$M$6&gt;=22,'Treatment threshold graphs'!$M$6&lt;=37),'Treatment threshold graphs'!$M$6*10-100,'Data sheet'!I57)</f>
        <v>350</v>
      </c>
      <c r="E57" s="4" t="n">
        <f aca="false">IF(AND('Treatment threshold graphs'!$M$6&gt;=22,'Treatment threshold graphs'!$M$6&lt;=37),'Treatment threshold graphs'!$M$6*10,'Data sheet'!J57)</f>
        <v>450</v>
      </c>
      <c r="I57" s="5" t="n">
        <v>350</v>
      </c>
      <c r="J57" s="5" t="n">
        <v>450</v>
      </c>
    </row>
    <row r="58" customFormat="false" ht="12.75" hidden="false" customHeight="false" outlineLevel="0" collapsed="false">
      <c r="A58" s="6" t="n">
        <v>336</v>
      </c>
      <c r="B58" s="9" t="n">
        <v>14</v>
      </c>
      <c r="C58" s="7" t="n">
        <f aca="false">A58/24</f>
        <v>14</v>
      </c>
      <c r="D58" s="4" t="n">
        <f aca="false">IF(AND('Treatment threshold graphs'!$M$6&gt;=22,'Treatment threshold graphs'!$M$6&lt;=37),'Treatment threshold graphs'!$M$6*10-100,'Data sheet'!I58)</f>
        <v>350</v>
      </c>
      <c r="E58" s="4" t="n">
        <f aca="false">IF(AND('Treatment threshold graphs'!$M$6&gt;=22,'Treatment threshold graphs'!$M$6&lt;=37),'Treatment threshold graphs'!$M$6*10,'Data sheet'!J58)</f>
        <v>450</v>
      </c>
      <c r="I58" s="5" t="n">
        <v>350</v>
      </c>
      <c r="J58" s="5" t="n">
        <v>450</v>
      </c>
    </row>
  </sheetData>
  <sheetProtection sheet="true" objects="true" scenarios="true" selectLockedCell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9.13671875" defaultRowHeight="12.75" zeroHeight="false" outlineLevelRow="0" outlineLevelCol="0"/>
  <cols>
    <col collapsed="false" customWidth="false" hidden="false" outlineLevel="0" max="2" min="1" style="10" width="9.14"/>
    <col collapsed="false" customWidth="true" hidden="false" outlineLevel="0" max="3" min="3" style="10" width="12.28"/>
    <col collapsed="false" customWidth="false" hidden="false" outlineLevel="0" max="7" min="4" style="10" width="9.14"/>
    <col collapsed="false" customWidth="true" hidden="false" outlineLevel="0" max="8" min="8" style="10" width="12.85"/>
    <col collapsed="false" customWidth="true" hidden="false" outlineLevel="0" max="9" min="9" style="10" width="10.99"/>
    <col collapsed="false" customWidth="false" hidden="false" outlineLevel="0" max="12" min="10" style="10" width="9.14"/>
    <col collapsed="false" customWidth="true" hidden="false" outlineLevel="0" max="13" min="13" style="10" width="10.13"/>
    <col collapsed="false" customWidth="false" hidden="false" outlineLevel="0" max="16" min="14" style="10" width="9.14"/>
    <col collapsed="false" customWidth="true" hidden="false" outlineLevel="0" max="17" min="17" style="10" width="2.7"/>
    <col collapsed="false" customWidth="false" hidden="false" outlineLevel="0" max="257" min="18" style="10" width="9.14"/>
  </cols>
  <sheetData>
    <row r="1" s="15" customFormat="true" ht="18.75" hidden="false" customHeight="true" outlineLevel="0" collapsed="false">
      <c r="A1" s="10"/>
      <c r="B1" s="11"/>
      <c r="C1" s="11"/>
      <c r="D1" s="11"/>
      <c r="E1" s="12" t="s">
        <v>7</v>
      </c>
      <c r="F1" s="11"/>
      <c r="G1" s="11"/>
      <c r="H1" s="11"/>
      <c r="I1" s="11"/>
      <c r="J1" s="11"/>
      <c r="K1" s="13"/>
      <c r="L1" s="11"/>
      <c r="M1" s="11"/>
      <c r="N1" s="11"/>
      <c r="O1" s="14"/>
      <c r="P1" s="11"/>
    </row>
    <row r="2" customFormat="false" ht="18.75" hidden="false" customHeight="true" outlineLevel="0" collapsed="false">
      <c r="A2" s="16" t="s">
        <v>8</v>
      </c>
      <c r="C2" s="17"/>
      <c r="D2" s="17"/>
      <c r="E2" s="17"/>
      <c r="F2" s="17"/>
      <c r="G2" s="5"/>
      <c r="H2" s="16" t="s">
        <v>9</v>
      </c>
      <c r="J2" s="17"/>
      <c r="K2" s="17"/>
      <c r="L2" s="18"/>
      <c r="P2" s="18"/>
    </row>
    <row r="3" customFormat="false" ht="18.75" hidden="false" customHeight="true" outlineLevel="0" collapsed="false">
      <c r="A3" s="19"/>
      <c r="B3" s="16"/>
      <c r="C3" s="19"/>
      <c r="D3" s="19"/>
      <c r="E3" s="20"/>
      <c r="F3" s="21"/>
      <c r="G3" s="16"/>
      <c r="H3" s="20"/>
      <c r="I3" s="21"/>
      <c r="J3" s="21"/>
      <c r="K3" s="22" t="s">
        <v>6</v>
      </c>
    </row>
    <row r="4" customFormat="false" ht="18.75" hidden="false" customHeight="true" outlineLevel="0" collapsed="false">
      <c r="A4" s="16" t="s">
        <v>10</v>
      </c>
      <c r="C4" s="17"/>
      <c r="D4" s="17"/>
      <c r="E4" s="23" t="s">
        <v>11</v>
      </c>
      <c r="G4" s="17"/>
      <c r="H4" s="16" t="s">
        <v>12</v>
      </c>
      <c r="J4" s="5"/>
      <c r="K4" s="17" t="s">
        <v>6</v>
      </c>
      <c r="L4" s="24"/>
      <c r="Q4" s="25"/>
    </row>
    <row r="5" customFormat="false" ht="18.75" hidden="false" customHeight="false" outlineLevel="0" collapsed="false">
      <c r="A5" s="19"/>
      <c r="B5" s="18"/>
      <c r="C5" s="18"/>
      <c r="D5" s="18"/>
      <c r="E5" s="18"/>
      <c r="F5" s="18"/>
      <c r="G5" s="18"/>
      <c r="H5" s="18"/>
      <c r="I5" s="18"/>
      <c r="J5" s="18"/>
      <c r="K5" s="18"/>
      <c r="L5" s="18"/>
      <c r="M5" s="26" t="s">
        <v>13</v>
      </c>
      <c r="N5" s="18"/>
      <c r="O5" s="18"/>
      <c r="P5" s="18"/>
    </row>
    <row r="6" customFormat="false" ht="36" hidden="false" customHeight="false" outlineLevel="0" collapsed="false">
      <c r="A6" s="27" t="s">
        <v>14</v>
      </c>
      <c r="C6" s="18"/>
      <c r="D6" s="16" t="s">
        <v>15</v>
      </c>
      <c r="E6" s="18"/>
      <c r="F6" s="17"/>
      <c r="G6" s="28"/>
      <c r="H6" s="16" t="s">
        <v>16</v>
      </c>
      <c r="J6" s="28"/>
      <c r="K6" s="28"/>
      <c r="M6" s="29" t="s">
        <v>17</v>
      </c>
      <c r="N6" s="30" t="s">
        <v>18</v>
      </c>
      <c r="O6" s="31"/>
      <c r="P6" s="32"/>
    </row>
    <row r="7" customFormat="false" ht="12.75" hidden="false" customHeight="false" outlineLevel="0" collapsed="false">
      <c r="A7" s="18"/>
      <c r="B7" s="18"/>
      <c r="C7" s="18"/>
      <c r="D7" s="18"/>
      <c r="E7" s="18"/>
      <c r="F7" s="18"/>
      <c r="G7" s="18"/>
      <c r="H7" s="18"/>
      <c r="I7" s="18"/>
      <c r="J7" s="18"/>
      <c r="K7" s="18"/>
      <c r="L7" s="18"/>
      <c r="M7" s="18"/>
      <c r="N7" s="18"/>
      <c r="O7" s="18"/>
      <c r="P7" s="18"/>
    </row>
    <row r="8" customFormat="false" ht="12.75" hidden="false" customHeight="false" outlineLevel="0" collapsed="false">
      <c r="A8" s="18"/>
      <c r="C8" s="18"/>
      <c r="D8" s="18"/>
      <c r="E8" s="18"/>
      <c r="F8" s="18"/>
      <c r="G8" s="18"/>
      <c r="H8" s="18"/>
      <c r="I8" s="18"/>
      <c r="J8" s="18"/>
      <c r="K8" s="18"/>
      <c r="L8" s="18"/>
      <c r="M8" s="18"/>
      <c r="N8" s="18"/>
      <c r="O8" s="18"/>
      <c r="P8" s="18"/>
    </row>
    <row r="9" customFormat="false" ht="12.75" hidden="false" customHeight="false" outlineLevel="0" collapsed="false">
      <c r="A9" s="18"/>
      <c r="B9" s="18"/>
      <c r="C9" s="18"/>
      <c r="D9" s="18"/>
      <c r="E9" s="18"/>
      <c r="F9" s="18"/>
      <c r="G9" s="18"/>
      <c r="H9" s="18"/>
      <c r="I9" s="18"/>
      <c r="J9" s="18"/>
      <c r="K9" s="18"/>
      <c r="L9" s="18"/>
      <c r="M9" s="18"/>
      <c r="N9" s="18"/>
      <c r="O9" s="18"/>
      <c r="P9" s="18"/>
    </row>
    <row r="10" customFormat="false" ht="12.75" hidden="false" customHeight="false" outlineLevel="0" collapsed="false">
      <c r="A10" s="18"/>
      <c r="B10" s="18"/>
      <c r="C10" s="18"/>
      <c r="D10" s="18"/>
      <c r="E10" s="18"/>
      <c r="F10" s="18"/>
      <c r="G10" s="18"/>
      <c r="H10" s="18"/>
      <c r="I10" s="18"/>
      <c r="J10" s="18"/>
      <c r="K10" s="18"/>
      <c r="L10" s="18"/>
      <c r="M10" s="18"/>
      <c r="N10" s="18"/>
      <c r="O10" s="18"/>
      <c r="P10" s="18"/>
    </row>
    <row r="11" customFormat="false" ht="12.75" hidden="false" customHeight="false" outlineLevel="0" collapsed="false">
      <c r="A11" s="18"/>
      <c r="B11" s="18"/>
      <c r="C11" s="18"/>
      <c r="D11" s="18"/>
      <c r="E11" s="18"/>
      <c r="F11" s="18"/>
      <c r="G11" s="18"/>
      <c r="H11" s="18"/>
      <c r="I11" s="18"/>
      <c r="J11" s="18"/>
      <c r="K11" s="18"/>
      <c r="L11" s="18"/>
      <c r="M11" s="18"/>
      <c r="N11" s="18"/>
      <c r="O11" s="18"/>
      <c r="P11" s="18"/>
    </row>
    <row r="12" customFormat="false" ht="12.75" hidden="false" customHeight="false" outlineLevel="0" collapsed="false">
      <c r="A12" s="18"/>
      <c r="B12" s="18"/>
      <c r="C12" s="18"/>
      <c r="D12" s="18"/>
      <c r="E12" s="18"/>
      <c r="F12" s="18"/>
      <c r="G12" s="18"/>
      <c r="H12" s="18"/>
      <c r="I12" s="18"/>
      <c r="J12" s="18"/>
      <c r="K12" s="18"/>
      <c r="L12" s="18"/>
      <c r="M12" s="18"/>
      <c r="N12" s="18"/>
      <c r="O12" s="18"/>
      <c r="P12" s="18"/>
    </row>
    <row r="13" customFormat="false" ht="12.75" hidden="false" customHeight="false" outlineLevel="0" collapsed="false">
      <c r="A13" s="18"/>
      <c r="B13" s="18"/>
      <c r="C13" s="18"/>
      <c r="D13" s="18"/>
      <c r="E13" s="18"/>
      <c r="F13" s="18"/>
      <c r="G13" s="18"/>
      <c r="H13" s="18"/>
      <c r="I13" s="18"/>
      <c r="J13" s="18"/>
      <c r="K13" s="18"/>
      <c r="L13" s="18"/>
      <c r="M13" s="18"/>
      <c r="N13" s="18"/>
      <c r="O13" s="18"/>
      <c r="P13" s="18"/>
    </row>
    <row r="14" customFormat="false" ht="12.75" hidden="false" customHeight="false" outlineLevel="0" collapsed="false">
      <c r="A14" s="18"/>
      <c r="B14" s="18"/>
      <c r="C14" s="18"/>
      <c r="D14" s="18"/>
      <c r="E14" s="18"/>
      <c r="F14" s="18"/>
      <c r="G14" s="18"/>
      <c r="H14" s="18"/>
      <c r="I14" s="18"/>
      <c r="J14" s="18"/>
      <c r="K14" s="18"/>
      <c r="L14" s="18"/>
      <c r="M14" s="18"/>
      <c r="N14" s="18"/>
      <c r="O14" s="18"/>
      <c r="P14" s="18"/>
    </row>
    <row r="15" customFormat="false" ht="12.75" hidden="false" customHeight="false" outlineLevel="0" collapsed="false">
      <c r="A15" s="18"/>
      <c r="B15" s="18"/>
      <c r="C15" s="18"/>
      <c r="D15" s="18"/>
      <c r="E15" s="18"/>
      <c r="F15" s="18"/>
      <c r="G15" s="18"/>
      <c r="H15" s="18"/>
      <c r="I15" s="18"/>
      <c r="J15" s="18"/>
      <c r="K15" s="18"/>
      <c r="L15" s="18"/>
      <c r="M15" s="18"/>
      <c r="N15" s="18"/>
      <c r="O15" s="18"/>
      <c r="P15" s="18"/>
    </row>
    <row r="16" customFormat="false" ht="12.75" hidden="false" customHeight="false" outlineLevel="0" collapsed="false">
      <c r="A16" s="18"/>
      <c r="B16" s="18"/>
      <c r="C16" s="18"/>
      <c r="D16" s="18"/>
      <c r="E16" s="18"/>
      <c r="F16" s="18"/>
      <c r="G16" s="18"/>
      <c r="H16" s="18"/>
      <c r="I16" s="18"/>
      <c r="J16" s="18"/>
      <c r="K16" s="18"/>
      <c r="L16" s="18"/>
      <c r="M16" s="18"/>
      <c r="N16" s="18"/>
      <c r="O16" s="18"/>
      <c r="P16" s="18"/>
    </row>
    <row r="17" customFormat="false" ht="12.75" hidden="false" customHeight="false" outlineLevel="0" collapsed="false">
      <c r="A17" s="18"/>
      <c r="B17" s="18"/>
      <c r="C17" s="18"/>
      <c r="D17" s="18"/>
      <c r="E17" s="18"/>
      <c r="F17" s="18"/>
      <c r="G17" s="18"/>
      <c r="H17" s="18"/>
      <c r="I17" s="18"/>
      <c r="J17" s="18"/>
      <c r="K17" s="18"/>
      <c r="L17" s="18"/>
      <c r="M17" s="18"/>
      <c r="N17" s="18"/>
      <c r="O17" s="18"/>
      <c r="P17" s="18"/>
    </row>
    <row r="18" customFormat="false" ht="12.75" hidden="false" customHeight="false" outlineLevel="0" collapsed="false">
      <c r="A18" s="18"/>
      <c r="B18" s="18"/>
      <c r="C18" s="18"/>
      <c r="D18" s="18"/>
      <c r="E18" s="18"/>
      <c r="F18" s="18"/>
      <c r="G18" s="18"/>
      <c r="H18" s="18"/>
      <c r="I18" s="18"/>
      <c r="J18" s="18"/>
      <c r="K18" s="18"/>
      <c r="L18" s="18"/>
      <c r="M18" s="18"/>
      <c r="N18" s="18"/>
      <c r="O18" s="18"/>
      <c r="P18" s="18"/>
    </row>
    <row r="19" customFormat="false" ht="12.75" hidden="false" customHeight="false" outlineLevel="0" collapsed="false">
      <c r="A19" s="18"/>
      <c r="B19" s="18"/>
      <c r="C19" s="18"/>
      <c r="D19" s="18"/>
      <c r="E19" s="18"/>
      <c r="F19" s="18"/>
      <c r="G19" s="18"/>
      <c r="H19" s="18"/>
      <c r="I19" s="18"/>
      <c r="J19" s="18"/>
      <c r="K19" s="18"/>
      <c r="L19" s="18"/>
      <c r="M19" s="18"/>
      <c r="N19" s="18"/>
      <c r="O19" s="18"/>
      <c r="P19" s="18"/>
    </row>
    <row r="20" customFormat="false" ht="12.75" hidden="false" customHeight="false" outlineLevel="0" collapsed="false">
      <c r="A20" s="18"/>
      <c r="B20" s="18"/>
      <c r="C20" s="18"/>
      <c r="D20" s="18"/>
      <c r="E20" s="18"/>
      <c r="F20" s="18"/>
      <c r="G20" s="18"/>
      <c r="H20" s="18"/>
      <c r="I20" s="18"/>
      <c r="J20" s="18"/>
      <c r="K20" s="18"/>
      <c r="L20" s="18"/>
      <c r="M20" s="18"/>
      <c r="N20" s="18"/>
      <c r="O20" s="18"/>
      <c r="P20" s="18"/>
    </row>
    <row r="21" customFormat="false" ht="12.75" hidden="false" customHeight="false" outlineLevel="0" collapsed="false">
      <c r="A21" s="18"/>
      <c r="B21" s="18"/>
      <c r="C21" s="18"/>
      <c r="D21" s="18"/>
      <c r="E21" s="18"/>
      <c r="F21" s="18"/>
      <c r="G21" s="18"/>
      <c r="H21" s="18"/>
      <c r="I21" s="18"/>
      <c r="J21" s="18"/>
      <c r="K21" s="18"/>
      <c r="L21" s="18"/>
      <c r="M21" s="18"/>
      <c r="N21" s="18"/>
      <c r="O21" s="18"/>
      <c r="P21" s="18"/>
    </row>
    <row r="22" customFormat="false" ht="12.75" hidden="false" customHeight="false" outlineLevel="0" collapsed="false">
      <c r="A22" s="18"/>
      <c r="B22" s="18"/>
      <c r="C22" s="18"/>
      <c r="D22" s="18"/>
      <c r="E22" s="18"/>
      <c r="F22" s="18"/>
      <c r="G22" s="18"/>
      <c r="H22" s="18"/>
      <c r="I22" s="18"/>
      <c r="J22" s="18"/>
      <c r="K22" s="18"/>
      <c r="L22" s="18"/>
      <c r="M22" s="18"/>
      <c r="N22" s="18"/>
      <c r="O22" s="18"/>
      <c r="P22" s="18"/>
    </row>
    <row r="23" customFormat="false" ht="12.75" hidden="false" customHeight="false" outlineLevel="0" collapsed="false">
      <c r="A23" s="18"/>
      <c r="B23" s="18"/>
      <c r="C23" s="18"/>
      <c r="D23" s="18"/>
      <c r="E23" s="18"/>
      <c r="F23" s="18"/>
      <c r="G23" s="18"/>
      <c r="H23" s="18"/>
      <c r="I23" s="18"/>
      <c r="J23" s="18"/>
      <c r="K23" s="18"/>
      <c r="L23" s="18"/>
      <c r="M23" s="18"/>
      <c r="N23" s="18"/>
      <c r="O23" s="18"/>
      <c r="P23" s="18"/>
    </row>
    <row r="24" customFormat="false" ht="12.75" hidden="false" customHeight="false" outlineLevel="0" collapsed="false">
      <c r="A24" s="18"/>
      <c r="B24" s="18"/>
      <c r="C24" s="18"/>
      <c r="D24" s="18"/>
      <c r="E24" s="18"/>
      <c r="F24" s="18"/>
      <c r="G24" s="18"/>
      <c r="H24" s="18"/>
      <c r="I24" s="18"/>
      <c r="J24" s="18"/>
      <c r="K24" s="18"/>
      <c r="L24" s="18"/>
      <c r="M24" s="18"/>
      <c r="N24" s="18"/>
      <c r="O24" s="18"/>
      <c r="P24" s="18"/>
    </row>
    <row r="25" customFormat="false" ht="12.75" hidden="false" customHeight="false" outlineLevel="0" collapsed="false">
      <c r="A25" s="18"/>
      <c r="B25" s="18"/>
      <c r="C25" s="18"/>
      <c r="D25" s="18"/>
      <c r="E25" s="18"/>
      <c r="F25" s="18"/>
      <c r="G25" s="18"/>
      <c r="H25" s="18"/>
      <c r="I25" s="18"/>
      <c r="J25" s="18"/>
      <c r="K25" s="18"/>
      <c r="L25" s="18"/>
      <c r="M25" s="18"/>
      <c r="N25" s="18"/>
      <c r="O25" s="18"/>
      <c r="P25" s="18"/>
    </row>
    <row r="26" customFormat="false" ht="12.75" hidden="false" customHeight="false" outlineLevel="0" collapsed="false">
      <c r="A26" s="18"/>
      <c r="B26" s="18"/>
      <c r="C26" s="18"/>
      <c r="D26" s="18"/>
      <c r="E26" s="18"/>
      <c r="F26" s="18"/>
      <c r="G26" s="18"/>
      <c r="H26" s="18"/>
      <c r="I26" s="18"/>
      <c r="J26" s="18"/>
      <c r="K26" s="18"/>
      <c r="L26" s="18"/>
      <c r="M26" s="18"/>
      <c r="N26" s="18"/>
      <c r="O26" s="18"/>
      <c r="P26" s="18"/>
    </row>
    <row r="27" customFormat="false" ht="12.75" hidden="false" customHeight="false" outlineLevel="0" collapsed="false">
      <c r="A27" s="18"/>
      <c r="B27" s="18"/>
      <c r="C27" s="18"/>
      <c r="D27" s="18"/>
      <c r="E27" s="18"/>
      <c r="F27" s="18"/>
      <c r="G27" s="18"/>
      <c r="H27" s="18"/>
      <c r="I27" s="18"/>
      <c r="J27" s="18"/>
      <c r="K27" s="18"/>
      <c r="L27" s="18"/>
      <c r="M27" s="18"/>
      <c r="N27" s="18"/>
      <c r="O27" s="18"/>
      <c r="P27" s="18"/>
    </row>
    <row r="28" customFormat="false" ht="12.75" hidden="false" customHeight="false" outlineLevel="0" collapsed="false">
      <c r="A28" s="18"/>
      <c r="B28" s="18"/>
      <c r="C28" s="18"/>
      <c r="D28" s="18"/>
      <c r="E28" s="18"/>
      <c r="F28" s="18"/>
      <c r="G28" s="18"/>
      <c r="H28" s="18"/>
      <c r="I28" s="18"/>
      <c r="J28" s="18"/>
      <c r="K28" s="18"/>
      <c r="L28" s="18"/>
      <c r="M28" s="18"/>
      <c r="N28" s="18"/>
      <c r="O28" s="18"/>
      <c r="P28" s="18"/>
    </row>
    <row r="29" customFormat="false" ht="12.75" hidden="false" customHeight="false" outlineLevel="0" collapsed="false">
      <c r="A29" s="18"/>
      <c r="B29" s="18"/>
      <c r="C29" s="18"/>
      <c r="D29" s="18"/>
      <c r="E29" s="18"/>
      <c r="F29" s="18"/>
      <c r="G29" s="18"/>
      <c r="H29" s="18"/>
      <c r="I29" s="18"/>
      <c r="J29" s="18"/>
      <c r="K29" s="18"/>
      <c r="L29" s="18"/>
      <c r="M29" s="18"/>
      <c r="N29" s="18"/>
      <c r="O29" s="18"/>
      <c r="P29" s="18"/>
    </row>
    <row r="30" customFormat="false" ht="12.75" hidden="false" customHeight="false" outlineLevel="0" collapsed="false">
      <c r="A30" s="18"/>
      <c r="B30" s="18"/>
      <c r="C30" s="18"/>
      <c r="D30" s="18"/>
      <c r="E30" s="18"/>
      <c r="F30" s="18"/>
      <c r="G30" s="18"/>
      <c r="H30" s="18"/>
      <c r="I30" s="18"/>
      <c r="J30" s="18"/>
      <c r="K30" s="18"/>
      <c r="L30" s="18"/>
      <c r="M30" s="18"/>
      <c r="N30" s="18"/>
      <c r="O30" s="18"/>
      <c r="P30" s="18"/>
    </row>
    <row r="31" customFormat="false" ht="12.75" hidden="false" customHeight="false" outlineLevel="0" collapsed="false">
      <c r="A31" s="18"/>
      <c r="B31" s="18"/>
      <c r="C31" s="18"/>
      <c r="D31" s="18"/>
      <c r="E31" s="18"/>
      <c r="F31" s="18"/>
      <c r="G31" s="18"/>
      <c r="H31" s="18"/>
      <c r="I31" s="18"/>
      <c r="J31" s="18"/>
      <c r="K31" s="18"/>
      <c r="L31" s="18"/>
      <c r="M31" s="18"/>
      <c r="N31" s="18"/>
      <c r="O31" s="18"/>
      <c r="P31" s="18"/>
    </row>
    <row r="32" customFormat="false" ht="12.75" hidden="false" customHeight="false" outlineLevel="0" collapsed="false">
      <c r="A32" s="18"/>
      <c r="B32" s="18"/>
      <c r="C32" s="18"/>
      <c r="D32" s="18"/>
      <c r="E32" s="18"/>
      <c r="F32" s="18"/>
      <c r="G32" s="18"/>
      <c r="H32" s="18"/>
      <c r="I32" s="18"/>
      <c r="J32" s="18"/>
      <c r="K32" s="18"/>
      <c r="L32" s="18"/>
      <c r="M32" s="18"/>
      <c r="N32" s="18"/>
      <c r="O32" s="18"/>
      <c r="P32" s="18"/>
    </row>
    <row r="33" customFormat="false" ht="12.75" hidden="false" customHeight="false" outlineLevel="0" collapsed="false">
      <c r="A33" s="18"/>
      <c r="B33" s="18"/>
      <c r="C33" s="18"/>
      <c r="D33" s="18"/>
      <c r="E33" s="18"/>
      <c r="F33" s="18"/>
      <c r="G33" s="18"/>
      <c r="H33" s="18"/>
      <c r="I33" s="18"/>
      <c r="J33" s="18"/>
      <c r="K33" s="18"/>
      <c r="L33" s="18"/>
      <c r="M33" s="18"/>
      <c r="N33" s="18"/>
      <c r="O33" s="18"/>
      <c r="P33" s="18"/>
    </row>
    <row r="34" customFormat="false" ht="12.75" hidden="false" customHeight="false" outlineLevel="0" collapsed="false">
      <c r="A34" s="18"/>
      <c r="B34" s="18"/>
      <c r="C34" s="18"/>
      <c r="D34" s="18"/>
      <c r="E34" s="18"/>
      <c r="F34" s="18"/>
      <c r="G34" s="18"/>
      <c r="H34" s="18"/>
      <c r="I34" s="18"/>
      <c r="J34" s="18"/>
      <c r="K34" s="18"/>
      <c r="L34" s="18"/>
      <c r="M34" s="18"/>
      <c r="N34" s="18"/>
      <c r="O34" s="18"/>
      <c r="P34" s="18"/>
    </row>
    <row r="35" customFormat="false" ht="12.75" hidden="false" customHeight="false" outlineLevel="0" collapsed="false">
      <c r="A35" s="18"/>
      <c r="B35" s="18"/>
      <c r="C35" s="18"/>
      <c r="D35" s="18"/>
      <c r="E35" s="18"/>
      <c r="F35" s="18"/>
      <c r="G35" s="18"/>
      <c r="H35" s="18"/>
      <c r="I35" s="18"/>
      <c r="J35" s="18"/>
      <c r="K35" s="18"/>
      <c r="L35" s="18"/>
      <c r="M35" s="18"/>
      <c r="N35" s="18"/>
      <c r="O35" s="18"/>
      <c r="P35" s="18"/>
    </row>
    <row r="36" customFormat="false" ht="12.75" hidden="false" customHeight="false" outlineLevel="0" collapsed="false">
      <c r="A36" s="18"/>
      <c r="B36" s="18"/>
      <c r="C36" s="18"/>
      <c r="D36" s="18"/>
      <c r="E36" s="18"/>
      <c r="F36" s="18"/>
      <c r="G36" s="18"/>
      <c r="H36" s="18"/>
      <c r="I36" s="18"/>
      <c r="J36" s="18"/>
      <c r="K36" s="18"/>
      <c r="L36" s="18"/>
      <c r="M36" s="18"/>
      <c r="N36" s="18"/>
      <c r="O36" s="18"/>
      <c r="P36" s="18"/>
    </row>
    <row r="37" customFormat="false" ht="12.75" hidden="false" customHeight="false" outlineLevel="0" collapsed="false">
      <c r="A37" s="18"/>
      <c r="B37" s="18"/>
      <c r="C37" s="18"/>
      <c r="D37" s="18"/>
      <c r="E37" s="18"/>
      <c r="F37" s="18"/>
      <c r="G37" s="18"/>
      <c r="H37" s="18"/>
      <c r="I37" s="18"/>
      <c r="J37" s="18"/>
      <c r="K37" s="18"/>
      <c r="L37" s="18"/>
      <c r="M37" s="18"/>
      <c r="N37" s="18"/>
      <c r="O37" s="18"/>
      <c r="P37" s="18"/>
    </row>
    <row r="38" customFormat="false" ht="12.75" hidden="false" customHeight="false" outlineLevel="0" collapsed="false">
      <c r="A38" s="18"/>
      <c r="B38" s="18"/>
      <c r="C38" s="18"/>
      <c r="D38" s="18"/>
      <c r="E38" s="18"/>
      <c r="F38" s="18"/>
      <c r="G38" s="18"/>
      <c r="H38" s="18"/>
      <c r="I38" s="18"/>
      <c r="J38" s="18"/>
      <c r="K38" s="18"/>
      <c r="L38" s="18"/>
      <c r="M38" s="18"/>
      <c r="N38" s="18"/>
      <c r="O38" s="18"/>
      <c r="P38" s="18"/>
    </row>
    <row r="39" customFormat="false" ht="12.75" hidden="false" customHeight="false" outlineLevel="0" collapsed="false">
      <c r="A39" s="18"/>
      <c r="B39" s="18"/>
      <c r="C39" s="18"/>
      <c r="D39" s="18"/>
      <c r="E39" s="18"/>
      <c r="F39" s="18"/>
      <c r="G39" s="18"/>
      <c r="H39" s="18"/>
      <c r="I39" s="18"/>
      <c r="J39" s="18"/>
      <c r="K39" s="18"/>
      <c r="L39" s="18"/>
      <c r="M39" s="18"/>
      <c r="N39" s="18"/>
      <c r="O39" s="18"/>
      <c r="P39" s="18"/>
    </row>
    <row r="40" customFormat="false" ht="12.75" hidden="false" customHeight="false" outlineLevel="0" collapsed="false">
      <c r="A40" s="18"/>
      <c r="B40" s="18"/>
      <c r="C40" s="18"/>
      <c r="D40" s="18"/>
      <c r="E40" s="18"/>
      <c r="F40" s="18"/>
      <c r="G40" s="18"/>
      <c r="H40" s="18"/>
      <c r="I40" s="18"/>
      <c r="J40" s="18"/>
      <c r="K40" s="18"/>
      <c r="L40" s="18"/>
      <c r="M40" s="18"/>
      <c r="N40" s="18"/>
      <c r="O40" s="18"/>
      <c r="P40" s="18"/>
    </row>
    <row r="41" customFormat="false" ht="12.75" hidden="false" customHeight="false" outlineLevel="0" collapsed="false">
      <c r="A41" s="18"/>
      <c r="B41" s="18"/>
      <c r="C41" s="18"/>
      <c r="D41" s="18"/>
      <c r="E41" s="18"/>
      <c r="F41" s="18"/>
      <c r="G41" s="18"/>
      <c r="H41" s="18"/>
      <c r="I41" s="18"/>
      <c r="J41" s="18"/>
      <c r="K41" s="18"/>
      <c r="L41" s="18"/>
      <c r="M41" s="18"/>
      <c r="N41" s="18"/>
      <c r="O41" s="18"/>
      <c r="P41" s="18"/>
    </row>
    <row r="42" customFormat="false" ht="12.75" hidden="false" customHeight="false" outlineLevel="0" collapsed="false">
      <c r="A42" s="18"/>
      <c r="B42" s="18"/>
      <c r="C42" s="18"/>
      <c r="D42" s="18"/>
      <c r="E42" s="18"/>
      <c r="F42" s="18"/>
      <c r="G42" s="18"/>
      <c r="H42" s="18"/>
      <c r="I42" s="18"/>
      <c r="J42" s="18"/>
      <c r="K42" s="18"/>
      <c r="L42" s="18"/>
      <c r="M42" s="18"/>
      <c r="N42" s="18"/>
      <c r="O42" s="18"/>
      <c r="P42" s="18"/>
    </row>
    <row r="43" customFormat="false" ht="12.75" hidden="false" customHeight="false" outlineLevel="0" collapsed="false">
      <c r="A43" s="18"/>
      <c r="B43" s="5"/>
      <c r="C43" s="18"/>
      <c r="D43" s="18"/>
      <c r="E43" s="18"/>
      <c r="F43" s="18"/>
      <c r="G43" s="18"/>
      <c r="H43" s="18"/>
      <c r="I43" s="18"/>
      <c r="J43" s="18"/>
      <c r="K43" s="18"/>
      <c r="L43" s="18"/>
      <c r="M43" s="18"/>
      <c r="N43" s="18"/>
      <c r="O43" s="18"/>
      <c r="P43" s="18"/>
    </row>
    <row r="44" customFormat="false" ht="12.75" hidden="false" customHeight="false" outlineLevel="0" collapsed="false">
      <c r="L44" s="18"/>
      <c r="M44" s="18"/>
      <c r="N44" s="18"/>
      <c r="O44" s="18"/>
      <c r="P44" s="18"/>
    </row>
    <row r="45" customFormat="false" ht="12.75" hidden="false" customHeight="false" outlineLevel="0" collapsed="false">
      <c r="A45" s="18"/>
      <c r="B45" s="18"/>
      <c r="C45" s="18"/>
      <c r="D45" s="18"/>
      <c r="E45" s="18"/>
      <c r="F45" s="18"/>
      <c r="G45" s="18"/>
      <c r="H45" s="18"/>
      <c r="I45" s="18"/>
      <c r="J45" s="18"/>
      <c r="K45" s="18"/>
      <c r="L45" s="18"/>
      <c r="M45" s="18"/>
      <c r="N45" s="18"/>
      <c r="O45" s="18"/>
      <c r="P45" s="18"/>
    </row>
    <row r="46" customFormat="false" ht="12.75" hidden="false" customHeight="false" outlineLevel="0" collapsed="false">
      <c r="A46" s="18"/>
      <c r="B46" s="18"/>
      <c r="C46" s="18"/>
      <c r="D46" s="18"/>
      <c r="E46" s="18"/>
      <c r="F46" s="18"/>
      <c r="G46" s="18"/>
      <c r="H46" s="18"/>
      <c r="I46" s="18"/>
      <c r="J46" s="18"/>
      <c r="K46" s="18"/>
      <c r="L46" s="18"/>
      <c r="M46" s="18"/>
      <c r="N46" s="18"/>
      <c r="O46" s="18"/>
      <c r="P46" s="18"/>
    </row>
    <row r="47" customFormat="false" ht="12.75" hidden="false" customHeight="false" outlineLevel="0" collapsed="false">
      <c r="A47" s="18"/>
      <c r="B47" s="18"/>
      <c r="C47" s="18"/>
      <c r="D47" s="18"/>
      <c r="E47" s="18"/>
      <c r="F47" s="18"/>
      <c r="G47" s="18"/>
      <c r="H47" s="18"/>
      <c r="I47" s="18"/>
      <c r="J47" s="18"/>
      <c r="K47" s="18"/>
      <c r="L47" s="18"/>
      <c r="M47" s="18"/>
      <c r="N47" s="18"/>
      <c r="O47" s="18"/>
      <c r="P47" s="18"/>
    </row>
    <row r="48" customFormat="false" ht="12.75" hidden="false" customHeight="false" outlineLevel="0" collapsed="false">
      <c r="A48" s="18"/>
      <c r="B48" s="18"/>
      <c r="C48" s="18"/>
      <c r="D48" s="18"/>
      <c r="E48" s="18"/>
      <c r="F48" s="18"/>
      <c r="G48" s="18"/>
      <c r="H48" s="18"/>
      <c r="I48" s="18"/>
      <c r="J48" s="18"/>
      <c r="K48" s="18"/>
      <c r="L48" s="18"/>
      <c r="M48" s="18"/>
      <c r="N48" s="18"/>
      <c r="O48" s="18"/>
      <c r="P48" s="18"/>
    </row>
    <row r="49" customFormat="false" ht="12.75" hidden="false" customHeight="false" outlineLevel="0" collapsed="false">
      <c r="A49" s="18"/>
      <c r="B49" s="18"/>
      <c r="C49" s="18"/>
      <c r="D49" s="18"/>
      <c r="E49" s="18"/>
      <c r="F49" s="18"/>
      <c r="G49" s="18"/>
      <c r="H49" s="18"/>
      <c r="I49" s="18"/>
      <c r="J49" s="18"/>
      <c r="K49" s="18"/>
      <c r="L49" s="18"/>
      <c r="M49" s="18"/>
      <c r="N49" s="18"/>
    </row>
    <row r="50" customFormat="false" ht="12.75" hidden="false" customHeight="false" outlineLevel="0" collapsed="false">
      <c r="A50" s="18"/>
      <c r="B50" s="18"/>
      <c r="C50" s="18"/>
      <c r="D50" s="18"/>
      <c r="E50" s="18"/>
      <c r="F50" s="18"/>
      <c r="G50" s="18"/>
      <c r="H50" s="18"/>
      <c r="I50" s="18"/>
      <c r="J50" s="18"/>
      <c r="K50" s="18"/>
      <c r="L50" s="18"/>
      <c r="M50" s="18"/>
      <c r="N50" s="18"/>
    </row>
    <row r="51" customFormat="false" ht="12.75" hidden="false" customHeight="false" outlineLevel="0" collapsed="false">
      <c r="A51" s="18"/>
      <c r="B51" s="18"/>
      <c r="C51" s="18"/>
      <c r="D51" s="18"/>
      <c r="E51" s="18"/>
      <c r="F51" s="18"/>
      <c r="G51" s="18"/>
      <c r="H51" s="18"/>
      <c r="I51" s="18"/>
      <c r="J51" s="18"/>
      <c r="K51" s="18"/>
      <c r="L51" s="18"/>
      <c r="M51" s="18"/>
      <c r="N51" s="18"/>
    </row>
    <row r="52" customFormat="false" ht="12.75" hidden="false" customHeight="false" outlineLevel="0" collapsed="false">
      <c r="A52" s="18"/>
      <c r="B52" s="18"/>
      <c r="C52" s="18"/>
      <c r="D52" s="18"/>
      <c r="E52" s="18"/>
      <c r="F52" s="18"/>
      <c r="G52" s="18"/>
      <c r="H52" s="18"/>
      <c r="I52" s="18"/>
      <c r="J52" s="18"/>
      <c r="K52" s="18"/>
      <c r="L52" s="18"/>
      <c r="M52" s="18"/>
      <c r="N52" s="18"/>
    </row>
    <row r="53" customFormat="false" ht="12.75" hidden="false" customHeight="false" outlineLevel="0" collapsed="false">
      <c r="A53" s="18"/>
      <c r="B53" s="18"/>
      <c r="C53" s="18"/>
      <c r="D53" s="18"/>
      <c r="E53" s="18"/>
      <c r="F53" s="18"/>
      <c r="G53" s="18"/>
      <c r="H53" s="18"/>
      <c r="I53" s="18"/>
      <c r="J53" s="18"/>
      <c r="K53" s="18"/>
      <c r="L53" s="18"/>
    </row>
    <row r="54" customFormat="false" ht="12.75" hidden="false" customHeight="false" outlineLevel="0" collapsed="false">
      <c r="A54" s="18"/>
    </row>
  </sheetData>
  <sheetProtection sheet="true" password="f633" objects="true" scenarios="true"/>
  <dataValidations count="1">
    <dataValidation allowBlank="true" errorStyle="stop" operator="between" showDropDown="false" showErrorMessage="true" showInputMessage="false" sqref="M6" type="list">
      <formula1>"23,24,25,26,27,28,29,30,31,32,33,34,35,36,37,&gt;=38"</formula1>
      <formula2>0</formula2>
    </dataValidation>
  </dataValidations>
  <printOptions headings="false" gridLines="false" gridLinesSet="true" horizontalCentered="false" verticalCentered="false"/>
  <pageMargins left="0" right="0" top="0.39375" bottom="0.39375" header="0.511811023622047" footer="0.511811023622047"/>
  <pageSetup paperSize="9" scale="88"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1" activeCellId="0" sqref="O1"/>
    </sheetView>
  </sheetViews>
  <sheetFormatPr defaultColWidth="9.0546875" defaultRowHeight="12.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2006-10-23T07:49:52Z</dcterms:created>
  <dc:creator>Giles Kendall</dc:creator>
  <dc:description/>
  <dc:language>en-US</dc:language>
  <cp:lastModifiedBy>Merissa Bellew</cp:lastModifiedBy>
  <cp:lastPrinted>2011-08-12T05:33:34Z</cp:lastPrinted>
  <dcterms:modified xsi:type="dcterms:W3CDTF">2015-10-13T20:26:24Z</dcterms:modified>
  <cp:revision>0</cp:revision>
  <dc:subject/>
  <dc:title/>
</cp:coreProperties>
</file>